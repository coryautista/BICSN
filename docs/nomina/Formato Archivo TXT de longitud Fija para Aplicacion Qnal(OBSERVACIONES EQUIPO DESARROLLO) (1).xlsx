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EsteLibro" defaultThemeVersion="124226"/>
  <mc:AlternateContent xmlns:mc="http://schemas.openxmlformats.org/markup-compatibility/2006">
    <mc:Choice Requires="x15">
      <x15ac:absPath xmlns:x15ac="http://schemas.microsoft.com/office/spreadsheetml/2010/11/ac" url="C:\Users\l_cue\Downloads\"/>
    </mc:Choice>
  </mc:AlternateContent>
  <xr:revisionPtr revIDLastSave="0" documentId="13_ncr:1_{C521EAD0-2BE0-426C-8650-5FE14F6A38CB}" xr6:coauthVersionLast="36" xr6:coauthVersionMax="47" xr10:uidLastSave="{00000000-0000-0000-0000-000000000000}"/>
  <bookViews>
    <workbookView xWindow="0" yWindow="0" windowWidth="19008" windowHeight="7788" activeTab="1" xr2:uid="{00000000-000D-0000-FFFF-FFFF00000000}"/>
  </bookViews>
  <sheets>
    <sheet name="ENVIO DE PRESTAMOS" sheetId="8" r:id="rId1"/>
    <sheet name="APORTACION QNAL" sheetId="5" r:id="rId2"/>
  </sheets>
  <definedNames>
    <definedName name="_xlnm.Print_Area" localSheetId="1">'APORTACION QNAL'!$A$1:$J$81</definedName>
    <definedName name="_xlnm.Print_Area" localSheetId="0">'ENVIO DE PRESTAMOS'!$A$1:$J$61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" i="5" l="1"/>
  <c r="N6" i="5"/>
  <c r="M6" i="5"/>
  <c r="L6" i="5"/>
</calcChain>
</file>

<file path=xl/sharedStrings.xml><?xml version="1.0" encoding="utf-8"?>
<sst xmlns="http://schemas.openxmlformats.org/spreadsheetml/2006/main" count="558" uniqueCount="307">
  <si>
    <t>ENCABEZADO DE ARCHIVO</t>
  </si>
  <si>
    <t>LOTE</t>
  </si>
  <si>
    <t>TIPO REGISTRO</t>
  </si>
  <si>
    <t>ORGANICA I</t>
  </si>
  <si>
    <t>ORGANICA II</t>
  </si>
  <si>
    <t>FECHA INICIAL</t>
  </si>
  <si>
    <t>FECHA FINAL</t>
  </si>
  <si>
    <t>BASE COTIZACION SUELDO</t>
  </si>
  <si>
    <t>APORTACION  AFILIADOS FONDO AHORRO</t>
  </si>
  <si>
    <t>N(5)</t>
  </si>
  <si>
    <t>N(1)</t>
  </si>
  <si>
    <t>N(2)</t>
  </si>
  <si>
    <t>A(4)M(2)D(2)</t>
  </si>
  <si>
    <t>N(9).N(2)</t>
  </si>
  <si>
    <t>N(7).N(2)</t>
  </si>
  <si>
    <t>LOTE DE INFORMACION (2-AÑO, 3 CONSECUTIVO QNA)</t>
  </si>
  <si>
    <t>FECHA INICIAL DEL PERIODO DEL LOTE</t>
  </si>
  <si>
    <t>FECHA FINAL DEL PERIODO DEL LOTE</t>
  </si>
  <si>
    <t>MONTO TOTAL DE SUELDOS PRESUPUESTALES DE LOS AFILIADOS, DEL</t>
  </si>
  <si>
    <t>QUE SE PARTE PARA EL CALCULO DE LAS APORTACIONES</t>
  </si>
  <si>
    <t>APORTACION TOTAL DE LOS AFILIADOS CORRESPONDIENTE AL FONDO DE</t>
  </si>
  <si>
    <t>DESCUENTO TOTAL POR PRESTAMO A CORTO PLAZO</t>
  </si>
  <si>
    <t>REGISTRO INDIVIDUAL DEL CONTENIDO DE INFORMACION</t>
  </si>
  <si>
    <t>TIPO DE REGISTRO</t>
  </si>
  <si>
    <t>CLAVE DE PERSONAL</t>
  </si>
  <si>
    <t>...SEPARADOR</t>
  </si>
  <si>
    <t>RFC</t>
  </si>
  <si>
    <t>SUELDO MENSUAL</t>
  </si>
  <si>
    <t>AYUDAS MENSUALES</t>
  </si>
  <si>
    <t>QUINQUENIOS MENSUAL</t>
  </si>
  <si>
    <t>FECHA MOVIMIENTO</t>
  </si>
  <si>
    <t>DESCUENTOS OTROS</t>
  </si>
  <si>
    <t>N(10)</t>
  </si>
  <si>
    <t>C(1)</t>
  </si>
  <si>
    <t>CLAVE INTERNA DE EMPLEADO EN SU ENTIDAD</t>
  </si>
  <si>
    <t>(5% BASE COTIZACION SUELDO)</t>
  </si>
  <si>
    <t>SUELDO PRESUPUESTAL MENSUAL</t>
  </si>
  <si>
    <t>QUINQUENIOS MENSUALES</t>
  </si>
  <si>
    <t>ATRIBUTO</t>
  </si>
  <si>
    <t>TIPO DE DATO</t>
  </si>
  <si>
    <t>DESCRIPCION</t>
  </si>
  <si>
    <t>fecha_qna_inical</t>
  </si>
  <si>
    <t>fecha_qna_final</t>
  </si>
  <si>
    <t>suma fa_afilia</t>
  </si>
  <si>
    <t>suma_fa_entidad</t>
  </si>
  <si>
    <t>suma ebi_afilia</t>
  </si>
  <si>
    <t>suma ebi_entidad</t>
  </si>
  <si>
    <t>1</t>
  </si>
  <si>
    <t>003914528.77</t>
  </si>
  <si>
    <t>000496824.29</t>
  </si>
  <si>
    <t>0195730.68</t>
  </si>
  <si>
    <t>0097865.34</t>
  </si>
  <si>
    <t>0007261.50</t>
  </si>
  <si>
    <t>065353.50</t>
  </si>
  <si>
    <t>0675608.89</t>
  </si>
  <si>
    <t>0043678.47</t>
  </si>
  <si>
    <t>0032507.21</t>
  </si>
  <si>
    <t>0000000.00</t>
  </si>
  <si>
    <t>año</t>
  </si>
  <si>
    <t>qna</t>
  </si>
  <si>
    <t>constante</t>
  </si>
  <si>
    <t>organica</t>
  </si>
  <si>
    <t>rfc</t>
  </si>
  <si>
    <t>no.empleado</t>
  </si>
  <si>
    <t>nombre</t>
  </si>
  <si>
    <t>tipo_mov</t>
  </si>
  <si>
    <t>f_alta o fin_qna</t>
  </si>
  <si>
    <t>sdo mensual</t>
  </si>
  <si>
    <t>ayudas men</t>
  </si>
  <si>
    <t>quinquenios men</t>
  </si>
  <si>
    <t>sdo qnal</t>
  </si>
  <si>
    <t>fa_afilia</t>
  </si>
  <si>
    <t>fa_entidad</t>
  </si>
  <si>
    <t>ebi_afilia</t>
  </si>
  <si>
    <t>ebi_entidad</t>
  </si>
  <si>
    <t>desc_pcp</t>
  </si>
  <si>
    <t>desc_hipo</t>
  </si>
  <si>
    <t>desc_otros</t>
  </si>
  <si>
    <t>calle</t>
  </si>
  <si>
    <t>colonia</t>
  </si>
  <si>
    <t>ciudad</t>
  </si>
  <si>
    <t>edo</t>
  </si>
  <si>
    <t>mpio</t>
  </si>
  <si>
    <t>cod_postal</t>
  </si>
  <si>
    <t>telefono</t>
  </si>
  <si>
    <t>fecha_nacimineto</t>
  </si>
  <si>
    <t>sexo</t>
  </si>
  <si>
    <t>edo_civil</t>
  </si>
  <si>
    <t>2</t>
  </si>
  <si>
    <t>001592.84</t>
  </si>
  <si>
    <t>000000.00</t>
  </si>
  <si>
    <t>000796.42</t>
  </si>
  <si>
    <t>000179.85</t>
  </si>
  <si>
    <t>0039.82</t>
  </si>
  <si>
    <t>0019.91</t>
  </si>
  <si>
    <t>0000.00</t>
  </si>
  <si>
    <t>000172.97</t>
  </si>
  <si>
    <t>EDMUNDO GAMEZ O</t>
  </si>
  <si>
    <t>SAN JOSE DE GRA</t>
  </si>
  <si>
    <t>00</t>
  </si>
  <si>
    <t>000</t>
  </si>
  <si>
    <t>00000</t>
  </si>
  <si>
    <t>19660730</t>
  </si>
  <si>
    <t>F</t>
  </si>
  <si>
    <t>S</t>
  </si>
  <si>
    <t>002095.91</t>
  </si>
  <si>
    <t>000213.74</t>
  </si>
  <si>
    <t>001047.96</t>
  </si>
  <si>
    <t>000286.72</t>
  </si>
  <si>
    <t>0052.40</t>
  </si>
  <si>
    <t>0026.20</t>
  </si>
  <si>
    <t>19611217</t>
  </si>
  <si>
    <t>AFILIADO 5% DE LA BASE COTIZACION SUELDO</t>
  </si>
  <si>
    <t>APORTACION EBI AFILIADO</t>
  </si>
  <si>
    <t>APORTACION EBI ENTIDAD</t>
  </si>
  <si>
    <t>PRESTAMO CORTO PLAZO</t>
  </si>
  <si>
    <t>PRESTAMOS VIVIENDA</t>
  </si>
  <si>
    <t>PRESTAMOS HIPOTECARIO</t>
  </si>
  <si>
    <t>N(6)</t>
  </si>
  <si>
    <t>RFC y HOMOCLAVE</t>
  </si>
  <si>
    <t>NOMBRE DEL AFILIADO</t>
  </si>
  <si>
    <t>N(6).N(2)</t>
  </si>
  <si>
    <t>CLAVE DE LA ENTIDAD (ASIGNADO POR EL ISSSSPEA)</t>
  </si>
  <si>
    <t>ORGANICA III</t>
  </si>
  <si>
    <t>A(4)N(6)C(2)N(1)</t>
  </si>
  <si>
    <t>C(50)</t>
  </si>
  <si>
    <t>MOVIMIENTO</t>
  </si>
  <si>
    <t>C(2)</t>
  </si>
  <si>
    <t>APORTACION AFILIADO FONDO AHORRO</t>
  </si>
  <si>
    <t>N(4).N(2)</t>
  </si>
  <si>
    <t>APORTACION DEL AFILIADO CORRESPONDIENTE AL F. AHORRO</t>
  </si>
  <si>
    <t>APORTACION ENTIDAD FONDO AHORRO</t>
  </si>
  <si>
    <t>APORTACION DE LA ENTIDAD CORRESPONDIENTE AL F. AHORRO</t>
  </si>
  <si>
    <t>(2.5% BASE COTIZACION SUELDO)</t>
  </si>
  <si>
    <t>APORTACION AFILIADO EBI</t>
  </si>
  <si>
    <t>APORTACION DEL AFILIADO CORRESPONDIENTE A LA EBI</t>
  </si>
  <si>
    <t>(SOLO PARA LOS CASOS EN QUE APLIQUE)</t>
  </si>
  <si>
    <t>APORTACION ENTIDAD EBI</t>
  </si>
  <si>
    <t>APORTACION DEL ENTIDAD CORRESPONDIENTE A LA EBI</t>
  </si>
  <si>
    <t>DESCUENTO PRESTAMOS PCP</t>
  </si>
  <si>
    <t>DESCUENTO PRESTAMOS HIPOTECARIO</t>
  </si>
  <si>
    <t>DESCTO POR PRESTAMO CORTO PLAZO</t>
  </si>
  <si>
    <t>DESCTO POR PRESTAMO HIPOTECARIO</t>
  </si>
  <si>
    <t>CALLE</t>
  </si>
  <si>
    <t>COLONIA</t>
  </si>
  <si>
    <t>CIUDAD</t>
  </si>
  <si>
    <t>ESTADO</t>
  </si>
  <si>
    <t>MUNICIPIO</t>
  </si>
  <si>
    <t>CODIGO POSTAL</t>
  </si>
  <si>
    <t>TELEFONO</t>
  </si>
  <si>
    <t>FECHA NACIMIENTO</t>
  </si>
  <si>
    <t>SEXO</t>
  </si>
  <si>
    <t>ESTADO CIVIL</t>
  </si>
  <si>
    <t>C(30)</t>
  </si>
  <si>
    <t>C(15)</t>
  </si>
  <si>
    <t>N(3)</t>
  </si>
  <si>
    <t>C(10)</t>
  </si>
  <si>
    <t>NOMBRE DE LA COLONIA</t>
  </si>
  <si>
    <t>NOMBRE DE LA CIUDAD</t>
  </si>
  <si>
    <t>CLAVE DE ESTADO (CATALOGO INEGI)</t>
  </si>
  <si>
    <t>CLAVE DE MUNICIPIO (CATALOGO INEGI)</t>
  </si>
  <si>
    <t>TELEFONO (INCLUYENDO LA LADA)</t>
  </si>
  <si>
    <t>FECHA DE NACIMIENTO</t>
  </si>
  <si>
    <t>SUMA DEL SUELDO PRESUPUESTAL QUE SIRVE DE BASE PARA EL</t>
  </si>
  <si>
    <t>CALCULO DE LAS APORTACIONES EN EL PERIODO REPORTADO</t>
  </si>
  <si>
    <t>NOMBRE DE LA CALLE, NUM EXTERIOR E INTERIOR</t>
  </si>
  <si>
    <t>EJEMPLO</t>
  </si>
  <si>
    <t>XXXX6010102Y2</t>
  </si>
  <si>
    <t>AAAA6001011D5</t>
  </si>
  <si>
    <t>22258</t>
  </si>
  <si>
    <t>58962</t>
  </si>
  <si>
    <t>AHORRO 2.5% DE LA BASE COTIZACION SUELDO</t>
  </si>
  <si>
    <t>APORTACION TOTAL DE LOS AFILIADOS CORRESPONDIENTES A EBI</t>
  </si>
  <si>
    <t>APORTACION TOTAL DE LAS ENTIDADES CORRESPONDIENTES A EBI</t>
  </si>
  <si>
    <t>DESCUENTO TOTAL POR PRESTAMOS A CORTO PLAZO</t>
  </si>
  <si>
    <t>DESCUENTO TOTAL POR PRESTAMOS HIPOTECARIOS</t>
  </si>
  <si>
    <t>DESCUENTO TOTAL POR PRESTAMOS DE VIVIENDA</t>
  </si>
  <si>
    <t>ESPACIO</t>
  </si>
  <si>
    <t>ARCHIVO DE APLICACIÓN DE DIVERSAS DEPENDENCIAS</t>
  </si>
  <si>
    <t>ARCHIVO DE ENVIO DE COBROS</t>
  </si>
  <si>
    <t>N(4)</t>
  </si>
  <si>
    <t>TOTALIZA EL NUMERO DE PRESTAMOS A COBRAR EN LA QUINCENA</t>
  </si>
  <si>
    <t>TOTAL PRESTAMOS</t>
  </si>
  <si>
    <t>PRESTAMOS DE HIPOTECARIO</t>
  </si>
  <si>
    <t>PRESTAMOS DE E.B.I.</t>
  </si>
  <si>
    <t>A(13)</t>
  </si>
  <si>
    <t>RFC DE CADA SERVIDOR PUBLICO DE QUIEN SE COBRARAN LOS DESCTOS.</t>
  </si>
  <si>
    <t>NUMERO DE EMPLEADO</t>
  </si>
  <si>
    <t>IDENTIFICACION DEL SERVIDOR SI EXISTE</t>
  </si>
  <si>
    <t>NOMBRE</t>
  </si>
  <si>
    <t>NOMBRE DEL SERVIDOR PUBLICO</t>
  </si>
  <si>
    <t>TOTAL PRESTAMOS INDIVIDUAL</t>
  </si>
  <si>
    <t>TOTALIZA EL NUMERO DE PRESTAMOS A COBRARLE AL SERVIDOR PUBLICO</t>
  </si>
  <si>
    <t>CAIR VOLUNTARIO</t>
  </si>
  <si>
    <t>APORTACION VOLUNTARIA CORRESPONDIENTE A CAIR</t>
  </si>
  <si>
    <t>DESCUENTO TOTAL POR HIPOTECARIO</t>
  </si>
  <si>
    <t>DESCUENTO TOTAL POR EBI</t>
  </si>
  <si>
    <t>CAIR OBLIGATORIO (2% SUELDO BASE DE COTIZACION)</t>
  </si>
  <si>
    <t xml:space="preserve">CAIR </t>
  </si>
  <si>
    <t>CAIR</t>
  </si>
  <si>
    <r>
      <t>AL :</t>
    </r>
    <r>
      <rPr>
        <sz val="8"/>
        <rFont val="Arial"/>
        <family val="2"/>
      </rPr>
      <t xml:space="preserve"> ALTA INICIAL</t>
    </r>
  </si>
  <si>
    <r>
      <t>BA :</t>
    </r>
    <r>
      <rPr>
        <sz val="8"/>
        <rFont val="Arial"/>
        <family val="2"/>
      </rPr>
      <t xml:space="preserve"> BAJA POR CUALQUIER MOTIVO</t>
    </r>
  </si>
  <si>
    <r>
      <t>S :</t>
    </r>
    <r>
      <rPr>
        <sz val="8"/>
        <rFont val="Arial"/>
        <family val="2"/>
      </rPr>
      <t xml:space="preserve"> SOLTERO</t>
    </r>
  </si>
  <si>
    <r>
      <t>C :</t>
    </r>
    <r>
      <rPr>
        <sz val="8"/>
        <rFont val="Arial"/>
        <family val="2"/>
      </rPr>
      <t xml:space="preserve"> CASADO</t>
    </r>
  </si>
  <si>
    <r>
      <t>V :</t>
    </r>
    <r>
      <rPr>
        <sz val="8"/>
        <rFont val="Arial"/>
        <family val="2"/>
      </rPr>
      <t xml:space="preserve"> VIUDO</t>
    </r>
  </si>
  <si>
    <r>
      <t>D :</t>
    </r>
    <r>
      <rPr>
        <sz val="8"/>
        <rFont val="Arial"/>
        <family val="2"/>
      </rPr>
      <t xml:space="preserve"> DIVORCIADO</t>
    </r>
  </si>
  <si>
    <r>
      <t>O :</t>
    </r>
    <r>
      <rPr>
        <sz val="8"/>
        <rFont val="Arial"/>
        <family val="2"/>
      </rPr>
      <t xml:space="preserve"> OTROS</t>
    </r>
  </si>
  <si>
    <t>19</t>
  </si>
  <si>
    <t>004</t>
  </si>
  <si>
    <t>20190228</t>
  </si>
  <si>
    <t>3 y 4</t>
  </si>
  <si>
    <r>
      <t xml:space="preserve">CLAVE DE LA ENTIDAD </t>
    </r>
    <r>
      <rPr>
        <sz val="10"/>
        <color rgb="FFFF0000"/>
        <rFont val="Arial"/>
        <family val="2"/>
      </rPr>
      <t>'01'</t>
    </r>
  </si>
  <si>
    <r>
      <t>24</t>
    </r>
    <r>
      <rPr>
        <sz val="10"/>
        <color rgb="FFFF0000"/>
        <rFont val="Arial"/>
        <family val="2"/>
      </rPr>
      <t>01</t>
    </r>
  </si>
  <si>
    <t>BASE COTIZACION QUINQUENIOS</t>
  </si>
  <si>
    <t>MONTO TOTAL DE LAS PERCEPCIONES DE LOS QUINQUENIOS DE LOS</t>
  </si>
  <si>
    <t>AFILIADOS DEL QUE SE PARTE PARA EL CALCULO DE LAS APORTACIONES</t>
  </si>
  <si>
    <t>APORTACION TOTAL DE LA ENTIDAD CORRESPONDIENTE AL FONDO DE</t>
  </si>
  <si>
    <t>suma CAIR</t>
  </si>
  <si>
    <t>suma cair VOL</t>
  </si>
  <si>
    <r>
      <t xml:space="preserve">TIPO DE REGISTRO </t>
    </r>
    <r>
      <rPr>
        <sz val="10"/>
        <color rgb="FFFF0000"/>
        <rFont val="Arial"/>
        <family val="2"/>
      </rPr>
      <t>'2'</t>
    </r>
  </si>
  <si>
    <r>
      <t>24</t>
    </r>
    <r>
      <rPr>
        <sz val="10"/>
        <color rgb="FFFF0000"/>
        <rFont val="Arial"/>
        <family val="2"/>
      </rPr>
      <t>0101</t>
    </r>
  </si>
  <si>
    <t>3, 4 Y 5</t>
  </si>
  <si>
    <r>
      <t xml:space="preserve">NOMBRE DEL AFILIADO APELLIDO  PATERNO Y </t>
    </r>
    <r>
      <rPr>
        <sz val="10"/>
        <rFont val="Arial"/>
        <family val="2"/>
      </rPr>
      <t xml:space="preserve">MATERNO Y </t>
    </r>
    <r>
      <rPr>
        <sz val="10"/>
        <rFont val="Arial"/>
        <family val="2"/>
      </rPr>
      <t>NOMBRE</t>
    </r>
  </si>
  <si>
    <t>EN MAYUSCULAS</t>
  </si>
  <si>
    <t>6</t>
  </si>
  <si>
    <t>8</t>
  </si>
  <si>
    <t>FULANITO DE TAL TOTALMENTE</t>
  </si>
  <si>
    <t>SUTANITO NADA MAS Y MAS</t>
  </si>
  <si>
    <t>MOVIMIENTOS DE: 'AL','BA'. SI NO EXISTE MOVIMIENTO ( DEJARLO EN</t>
  </si>
  <si>
    <t>BLANCO).</t>
  </si>
  <si>
    <t>ASIGNAR FECHA DE FIN DE QUINCENA</t>
  </si>
  <si>
    <t>AL</t>
  </si>
  <si>
    <t>BA</t>
  </si>
  <si>
    <t>LAS AYUDAS MENSUAL DE DESPENSA, RENTA Y TRANSPORTE ES $ 0.00</t>
  </si>
  <si>
    <t>13</t>
  </si>
  <si>
    <t>SUMA DEL QUINQUENIO DEL AFILIADO EL CUAL SIRVE DE BASE PARA EL</t>
  </si>
  <si>
    <t>CALCULO DE LAS APORTACIONES AL FONDO DE PRESTACIONES ECONOMICAS</t>
  </si>
  <si>
    <t>SUMA DE DESCUENTOS POR OTROS CONCEPTOS</t>
  </si>
  <si>
    <t>DESCTO POR PRESTAMO MEDIANO PLAZO</t>
  </si>
  <si>
    <r>
      <t>SEXO (</t>
    </r>
    <r>
      <rPr>
        <sz val="10"/>
        <color rgb="FFFF0000"/>
        <rFont val="Arial"/>
        <family val="2"/>
      </rPr>
      <t>F</t>
    </r>
    <r>
      <rPr>
        <sz val="10"/>
        <rFont val="Arial"/>
        <family val="2"/>
      </rPr>
      <t xml:space="preserve"> o </t>
    </r>
    <r>
      <rPr>
        <sz val="10"/>
        <color rgb="FFFF0000"/>
        <rFont val="Arial"/>
        <family val="2"/>
      </rPr>
      <t>M</t>
    </r>
    <r>
      <rPr>
        <sz val="10"/>
        <rFont val="Arial"/>
      </rPr>
      <t>)</t>
    </r>
  </si>
  <si>
    <t>NOMBRE DEL ESTADO CIVIL (S, C, V, D, O)</t>
  </si>
  <si>
    <t>desc_pmp</t>
  </si>
  <si>
    <t>cair</t>
  </si>
  <si>
    <t>cairvoluntario</t>
  </si>
  <si>
    <r>
      <t>TIPO DE REGISTRO</t>
    </r>
    <r>
      <rPr>
        <sz val="10"/>
        <color rgb="FFFF0000"/>
        <rFont val="Arial"/>
        <family val="2"/>
      </rPr>
      <t xml:space="preserve"> '4'</t>
    </r>
  </si>
  <si>
    <t>TANTO DE PCP, HIP, PMP, EBI</t>
  </si>
  <si>
    <t>DESCUENTO TOTAL POR MEDIANO PLAZO</t>
  </si>
  <si>
    <r>
      <t xml:space="preserve">TIPO DE REGISTRO </t>
    </r>
    <r>
      <rPr>
        <sz val="10"/>
        <color rgb="FFFF0000"/>
        <rFont val="Arial"/>
        <family val="2"/>
      </rPr>
      <t>'5'</t>
    </r>
  </si>
  <si>
    <r>
      <t>LOTE DE INFORMACION (</t>
    </r>
    <r>
      <rPr>
        <sz val="10"/>
        <color rgb="FFFF0000"/>
        <rFont val="Arial"/>
        <family val="2"/>
      </rPr>
      <t>2</t>
    </r>
    <r>
      <rPr>
        <sz val="10"/>
        <rFont val="Arial"/>
      </rPr>
      <t xml:space="preserve">-AÑO, </t>
    </r>
    <r>
      <rPr>
        <sz val="10"/>
        <color rgb="FFFF0000"/>
        <rFont val="Arial"/>
        <family val="2"/>
      </rPr>
      <t>3</t>
    </r>
    <r>
      <rPr>
        <sz val="10"/>
        <rFont val="Arial"/>
      </rPr>
      <t xml:space="preserve"> CONSECUTIVO QNA)</t>
    </r>
  </si>
  <si>
    <t>CLAVE DE LA ENTIDAD (asignada por el Instituto)</t>
  </si>
  <si>
    <t>PRESTAMOS DE MEDIANO PLAZO</t>
  </si>
  <si>
    <t>PRESTAMOS DE CORTO PLAZO</t>
  </si>
  <si>
    <r>
      <t xml:space="preserve">ORGANICA </t>
    </r>
    <r>
      <rPr>
        <sz val="10"/>
        <color rgb="FFFF0000"/>
        <rFont val="Arial"/>
        <family val="2"/>
      </rPr>
      <t>0</t>
    </r>
  </si>
  <si>
    <r>
      <t xml:space="preserve">ORGANICA </t>
    </r>
    <r>
      <rPr>
        <sz val="10"/>
        <color rgb="FFFF0000"/>
        <rFont val="Arial"/>
        <family val="2"/>
      </rPr>
      <t>II</t>
    </r>
  </si>
  <si>
    <r>
      <t xml:space="preserve">ORGANICA </t>
    </r>
    <r>
      <rPr>
        <sz val="10"/>
        <color rgb="FFFF0000"/>
        <rFont val="Arial"/>
        <family val="2"/>
      </rPr>
      <t>I</t>
    </r>
  </si>
  <si>
    <r>
      <t>C(</t>
    </r>
    <r>
      <rPr>
        <sz val="10"/>
        <color rgb="FFFF0000"/>
        <rFont val="Arial"/>
        <family val="2"/>
      </rPr>
      <t>1</t>
    </r>
    <r>
      <rPr>
        <sz val="10"/>
        <rFont val="Arial"/>
        <family val="2"/>
      </rPr>
      <t>)</t>
    </r>
  </si>
  <si>
    <r>
      <t>A(</t>
    </r>
    <r>
      <rPr>
        <sz val="10"/>
        <color rgb="FFFF0000"/>
        <rFont val="Arial"/>
        <family val="2"/>
      </rPr>
      <t>50</t>
    </r>
    <r>
      <rPr>
        <sz val="10"/>
        <rFont val="Arial"/>
        <family val="2"/>
      </rPr>
      <t>)</t>
    </r>
  </si>
  <si>
    <t>EN LA QUINCENA TANTO DE PCP, HIP, PMP, EBI</t>
  </si>
  <si>
    <t>DESCUENTO TOTAL OTROS</t>
  </si>
  <si>
    <t>suma SDO_BASE COTIZACION</t>
  </si>
  <si>
    <t>suma QUINQ_BASE COTIZACION</t>
  </si>
  <si>
    <t>suma MEDIANO PLAZO</t>
  </si>
  <si>
    <t>suma HIPOTECARIO</t>
  </si>
  <si>
    <t>suma CORTO PLAZO</t>
  </si>
  <si>
    <r>
      <t>LOTE DE INFORMACION (</t>
    </r>
    <r>
      <rPr>
        <sz val="10"/>
        <color rgb="FFFF0000"/>
        <rFont val="Arial"/>
        <family val="2"/>
      </rPr>
      <t>2</t>
    </r>
    <r>
      <rPr>
        <sz val="10"/>
        <rFont val="Arial"/>
      </rPr>
      <t xml:space="preserve">-AÑO, </t>
    </r>
    <r>
      <rPr>
        <sz val="10"/>
        <color rgb="FFFF0000"/>
        <rFont val="Arial"/>
        <family val="2"/>
      </rPr>
      <t>3</t>
    </r>
    <r>
      <rPr>
        <sz val="10"/>
        <rFont val="Arial"/>
      </rPr>
      <t>-CONSECUTIVO QNA)</t>
    </r>
  </si>
  <si>
    <t>quin qnal</t>
  </si>
  <si>
    <t>C(4)</t>
  </si>
  <si>
    <t>PRESTAMOS OTROS</t>
  </si>
  <si>
    <t>PRESTAMOS PRESTAMO CORTO PLAZO</t>
  </si>
  <si>
    <r>
      <t>'</t>
    </r>
    <r>
      <rPr>
        <sz val="10"/>
        <color rgb="FFFF0000"/>
        <rFont val="Arial"/>
        <family val="2"/>
      </rPr>
      <t>@</t>
    </r>
    <r>
      <rPr>
        <sz val="10"/>
        <rFont val="Arial"/>
      </rPr>
      <t>'</t>
    </r>
  </si>
  <si>
    <t>APORTACION TOTAL DE LA ENTIDAD CORRESPONDIENTE AL CAIR</t>
  </si>
  <si>
    <t>AFILIADO 2% DE LA BASE COTIZACION SUELDO</t>
  </si>
  <si>
    <t>DESCUENTO TOTAL POR CAIR VOLUNTARIO DE LOS AFILIADOS</t>
  </si>
  <si>
    <t>DESCUENTO PRESTAMOS PMP</t>
  </si>
  <si>
    <t>20190216</t>
  </si>
  <si>
    <t>C(69)</t>
  </si>
  <si>
    <r>
      <t xml:space="preserve">TIPO DE REGISTRO </t>
    </r>
    <r>
      <rPr>
        <sz val="10"/>
        <color rgb="FFFF0000"/>
        <rFont val="Arial"/>
        <family val="2"/>
      </rPr>
      <t>'1'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(A QUE SE REFIERE ESTE CAMPO)</t>
    </r>
  </si>
  <si>
    <t>CAMPOS PARA INTEGAR EN REPOR MARCADO EN AMARILLO  PARA OBTENER  E INTEGRAR EN GENERACION TXT</t>
  </si>
  <si>
    <t>total</t>
  </si>
  <si>
    <t>va cero</t>
  </si>
  <si>
    <t>va ceros</t>
  </si>
  <si>
    <t>Pendiente</t>
  </si>
  <si>
    <t xml:space="preserve">TIPO DE MOVIMIENTO EN EL PERIODO HA APLICAR, ALTA, BAJA, CAMBIO DE SUELDO </t>
  </si>
  <si>
    <t>MONTO MENSUAL SUELDO REGISTRADO PARA EL TRABAJADOR, DE ACUERDO A SU CATEGORIA</t>
  </si>
  <si>
    <t>MONTO MENSUAL PRESTACIONES REGISTRADO PARA EL TRABAJADOR, DE ACUERDO A SU CATEGORIA</t>
  </si>
  <si>
    <t>MONTO MENSUAL QUINQUENIO REGISTRADO PARA EL TRABAJADOR, DE ACUERDO A SU CATEGORIA</t>
  </si>
  <si>
    <t>MONTO QUINCENAL SUELDO REGISTRADO PARA EL TRABAJADOR, DE ACUERDO A SU CATEGORIA</t>
  </si>
  <si>
    <t>MONTO QUINCENAL PRESTACIONES REGISTRADO PARA EL TRABAJADOR, DE ACUERDO A SU CATEGORIA</t>
  </si>
  <si>
    <t>CONSULTA TBL</t>
  </si>
  <si>
    <t>CALCULADO</t>
  </si>
  <si>
    <t>DETERMINACION DE FONDO DE AHORRO DE LA ENTIDAD</t>
  </si>
  <si>
    <t>DETERMINACION DE FONDO DE AHORRO DE AFILIADO</t>
  </si>
  <si>
    <t>MONTO DE GUARDERIA A COBRAR AL AFILIADO</t>
  </si>
  <si>
    <t>MONTO DE GUARDERIA A COBRAR A LA ENTIDAD</t>
  </si>
  <si>
    <t>MONTO DE OTROS DESCUENTOS A FAVOR DEL AFILIADO (POR EJEMPLO AJUSTE DE APORTACIONES, ACTUALIZACION APORTACIONES)</t>
  </si>
  <si>
    <t>MONTO CAIR DETERMINADO EN LA QUINCENA</t>
  </si>
  <si>
    <t xml:space="preserve">MONTO DE CAIR PAGADO VOLUNTARIAMENTE POR EL AFILIADO </t>
  </si>
  <si>
    <t>MONTO PCP A COBRAR</t>
  </si>
  <si>
    <t>MONTO PMP A COBRAR</t>
  </si>
  <si>
    <t>MONTO HIPOTECARIOS A COBRAR</t>
  </si>
  <si>
    <t>SERVICIO:prestamos-corto-plazo</t>
  </si>
  <si>
    <t>DATO: total</t>
  </si>
  <si>
    <t>GENERADO</t>
  </si>
  <si>
    <t>SERVICIO:prestamos-mediano-plazo</t>
  </si>
  <si>
    <t>SERVICIO:prestamos-hipotecarios</t>
  </si>
  <si>
    <t>DATO: descto</t>
  </si>
  <si>
    <t>DE CADA SERVICIO SE VINCULA EL DATO DE CADA COBRO POR TIPO DE PRESTAMO POR LOS DATOS interno, periodo_c, org0, org1, org2 y org3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</si>
</sst>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sz val="10"/>
      <color indexed="9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i/>
      <u/>
      <sz val="14"/>
      <name val="Arial"/>
      <family val="2"/>
    </font>
    <font>
      <b/>
      <sz val="9"/>
      <color indexed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9"/>
      <color rgb="FFCE9178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49" fontId="3" fillId="2" borderId="0" xfId="0" applyNumberFormat="1" applyFont="1" applyFill="1"/>
    <xf numFmtId="0" fontId="3" fillId="2" borderId="0" xfId="0" applyFont="1" applyFill="1"/>
    <xf numFmtId="49" fontId="0" fillId="0" borderId="0" xfId="0" applyNumberFormat="1"/>
    <xf numFmtId="0" fontId="0" fillId="0" borderId="0" xfId="0" quotePrefix="1"/>
    <xf numFmtId="49" fontId="0" fillId="0" borderId="0" xfId="0" quotePrefix="1" applyNumberFormat="1"/>
    <xf numFmtId="0" fontId="4" fillId="0" borderId="0" xfId="0" applyFont="1"/>
    <xf numFmtId="0" fontId="0" fillId="3" borderId="0" xfId="0" applyFill="1"/>
    <xf numFmtId="0" fontId="6" fillId="3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quotePrefix="1" applyFont="1"/>
    <xf numFmtId="0" fontId="8" fillId="0" borderId="0" xfId="0" applyFont="1"/>
    <xf numFmtId="0" fontId="9" fillId="0" borderId="0" xfId="0" applyFont="1"/>
    <xf numFmtId="0" fontId="1" fillId="0" borderId="1" xfId="0" applyFont="1" applyBorder="1" applyAlignment="1">
      <alignment horizontal="center"/>
    </xf>
    <xf numFmtId="16" fontId="0" fillId="0" borderId="0" xfId="0" quotePrefix="1" applyNumberFormat="1" applyAlignment="1">
      <alignment horizontal="center"/>
    </xf>
    <xf numFmtId="49" fontId="10" fillId="0" borderId="0" xfId="0" applyNumberFormat="1" applyFont="1"/>
    <xf numFmtId="49" fontId="8" fillId="0" borderId="0" xfId="0" quotePrefix="1" applyNumberFormat="1" applyFont="1"/>
    <xf numFmtId="49" fontId="8" fillId="0" borderId="0" xfId="0" applyNumberFormat="1" applyFont="1"/>
    <xf numFmtId="0" fontId="8" fillId="0" borderId="0" xfId="0" quotePrefix="1" applyFont="1"/>
    <xf numFmtId="0" fontId="10" fillId="0" borderId="0" xfId="0" applyFont="1" applyAlignment="1">
      <alignment horizontal="left"/>
    </xf>
    <xf numFmtId="49" fontId="0" fillId="0" borderId="0" xfId="0" quotePrefix="1" applyNumberFormat="1" applyAlignment="1">
      <alignment horizontal="center"/>
    </xf>
    <xf numFmtId="49" fontId="8" fillId="0" borderId="0" xfId="0" quotePrefix="1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8" fillId="0" borderId="0" xfId="0" quotePrefix="1" applyFont="1" applyAlignment="1">
      <alignment horizontal="center"/>
    </xf>
    <xf numFmtId="0" fontId="11" fillId="0" borderId="0" xfId="0" applyFont="1"/>
    <xf numFmtId="0" fontId="1" fillId="0" borderId="0" xfId="0" quotePrefix="1" applyFont="1"/>
    <xf numFmtId="0" fontId="0" fillId="4" borderId="0" xfId="0" applyFill="1"/>
    <xf numFmtId="0" fontId="8" fillId="4" borderId="0" xfId="0" quotePrefix="1" applyFont="1" applyFill="1" applyAlignment="1">
      <alignment horizontal="center"/>
    </xf>
    <xf numFmtId="0" fontId="12" fillId="4" borderId="0" xfId="0" quotePrefix="1" applyFont="1" applyFill="1" applyAlignment="1">
      <alignment horizontal="center"/>
    </xf>
    <xf numFmtId="49" fontId="12" fillId="4" borderId="0" xfId="0" quotePrefix="1" applyNumberFormat="1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49" fontId="12" fillId="4" borderId="0" xfId="0" applyNumberFormat="1" applyFont="1" applyFill="1"/>
    <xf numFmtId="0" fontId="12" fillId="4" borderId="0" xfId="0" applyFont="1" applyFill="1"/>
    <xf numFmtId="0" fontId="12" fillId="5" borderId="0" xfId="0" applyFont="1" applyFill="1"/>
    <xf numFmtId="0" fontId="12" fillId="5" borderId="0" xfId="0" applyFont="1" applyFill="1" applyAlignment="1">
      <alignment horizontal="center"/>
    </xf>
    <xf numFmtId="49" fontId="12" fillId="5" borderId="0" xfId="0" applyNumberFormat="1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5" fillId="6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8" fillId="4" borderId="0" xfId="0" applyFont="1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0" borderId="2" xfId="0" applyBorder="1" applyAlignment="1">
      <alignment horizontal="left" vertical="top"/>
    </xf>
    <xf numFmtId="0" fontId="13" fillId="4" borderId="0" xfId="0" applyFont="1" applyFill="1" applyAlignment="1">
      <alignment horizontal="left" vertical="top" wrapText="1"/>
    </xf>
    <xf numFmtId="0" fontId="0" fillId="0" borderId="0" xfId="0" applyAlignment="1">
      <alignment horizontal="center"/>
    </xf>
    <xf numFmtId="0" fontId="8" fillId="0" borderId="2" xfId="0" applyFont="1" applyBorder="1" applyAlignment="1">
      <alignment horizontal="left" vertical="top"/>
    </xf>
    <xf numFmtId="0" fontId="14" fillId="0" borderId="0" xfId="0" applyFont="1" applyAlignment="1">
      <alignment vertical="center" wrapText="1"/>
    </xf>
    <xf numFmtId="0" fontId="2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zoomScaleNormal="100" workbookViewId="0">
      <selection activeCell="C5" sqref="C5"/>
    </sheetView>
  </sheetViews>
  <sheetFormatPr baseColWidth="10" defaultRowHeight="13.2" x14ac:dyDescent="0.25"/>
  <cols>
    <col min="1" max="1" width="4.21875" customWidth="1"/>
    <col min="2" max="2" width="4.77734375" customWidth="1"/>
    <col min="3" max="3" width="32.21875" bestFit="1" customWidth="1"/>
    <col min="4" max="4" width="12" customWidth="1"/>
  </cols>
  <sheetData>
    <row r="1" spans="2:10" ht="17.399999999999999" x14ac:dyDescent="0.3">
      <c r="G1" s="10"/>
      <c r="H1" s="10"/>
      <c r="I1" s="11"/>
      <c r="J1" s="11" t="s">
        <v>179</v>
      </c>
    </row>
    <row r="2" spans="2:10" s="1" customFormat="1" x14ac:dyDescent="0.25">
      <c r="B2" s="1" t="s">
        <v>0</v>
      </c>
    </row>
    <row r="3" spans="2:10" s="1" customFormat="1" x14ac:dyDescent="0.25">
      <c r="E3" s="29"/>
    </row>
    <row r="4" spans="2:10" s="1" customFormat="1" ht="13.8" thickBot="1" x14ac:dyDescent="0.3">
      <c r="C4" s="3" t="s">
        <v>38</v>
      </c>
      <c r="D4" s="3" t="s">
        <v>39</v>
      </c>
      <c r="E4" s="40" t="s">
        <v>40</v>
      </c>
      <c r="F4" s="40"/>
      <c r="G4" s="40"/>
      <c r="H4" s="40"/>
      <c r="I4" s="40"/>
      <c r="J4" s="40"/>
    </row>
    <row r="5" spans="2:10" ht="13.8" thickTop="1" x14ac:dyDescent="0.25">
      <c r="B5" s="2">
        <v>1</v>
      </c>
      <c r="C5" t="s">
        <v>1</v>
      </c>
      <c r="D5" t="s">
        <v>9</v>
      </c>
      <c r="E5" s="15" t="s">
        <v>248</v>
      </c>
    </row>
    <row r="6" spans="2:10" x14ac:dyDescent="0.25">
      <c r="B6" s="2">
        <v>2</v>
      </c>
      <c r="C6" t="s">
        <v>25</v>
      </c>
      <c r="D6" t="s">
        <v>33</v>
      </c>
      <c r="E6" t="s">
        <v>177</v>
      </c>
    </row>
    <row r="7" spans="2:10" x14ac:dyDescent="0.25">
      <c r="B7" s="2">
        <v>3</v>
      </c>
      <c r="C7" t="s">
        <v>2</v>
      </c>
      <c r="D7" s="15" t="s">
        <v>10</v>
      </c>
      <c r="E7" s="15" t="s">
        <v>244</v>
      </c>
    </row>
    <row r="8" spans="2:10" x14ac:dyDescent="0.25">
      <c r="B8" s="2">
        <v>4</v>
      </c>
      <c r="C8" t="s">
        <v>25</v>
      </c>
      <c r="D8" t="s">
        <v>33</v>
      </c>
      <c r="E8" t="s">
        <v>177</v>
      </c>
    </row>
    <row r="9" spans="2:10" x14ac:dyDescent="0.25">
      <c r="B9" s="2">
        <v>5</v>
      </c>
      <c r="C9" t="s">
        <v>3</v>
      </c>
      <c r="D9" t="s">
        <v>11</v>
      </c>
      <c r="E9" s="15" t="s">
        <v>249</v>
      </c>
    </row>
    <row r="10" spans="2:10" x14ac:dyDescent="0.25">
      <c r="B10" s="2">
        <v>6</v>
      </c>
      <c r="C10" t="s">
        <v>25</v>
      </c>
      <c r="D10" t="s">
        <v>33</v>
      </c>
      <c r="E10" t="s">
        <v>177</v>
      </c>
    </row>
    <row r="11" spans="2:10" x14ac:dyDescent="0.25">
      <c r="B11" s="2">
        <v>7</v>
      </c>
      <c r="C11" t="s">
        <v>4</v>
      </c>
      <c r="D11" t="s">
        <v>11</v>
      </c>
      <c r="E11" s="15" t="s">
        <v>211</v>
      </c>
    </row>
    <row r="12" spans="2:10" x14ac:dyDescent="0.25">
      <c r="B12" s="2">
        <v>8</v>
      </c>
      <c r="C12" t="s">
        <v>25</v>
      </c>
      <c r="D12" t="s">
        <v>266</v>
      </c>
      <c r="E12" t="s">
        <v>177</v>
      </c>
    </row>
    <row r="13" spans="2:10" x14ac:dyDescent="0.25">
      <c r="B13" s="2">
        <v>9</v>
      </c>
      <c r="C13" t="s">
        <v>6</v>
      </c>
      <c r="D13" t="s">
        <v>12</v>
      </c>
      <c r="E13" t="s">
        <v>17</v>
      </c>
    </row>
    <row r="14" spans="2:10" x14ac:dyDescent="0.25">
      <c r="B14" s="2">
        <v>10</v>
      </c>
      <c r="C14" t="s">
        <v>25</v>
      </c>
      <c r="D14" s="15" t="s">
        <v>275</v>
      </c>
      <c r="E14" t="s">
        <v>177</v>
      </c>
    </row>
    <row r="15" spans="2:10" x14ac:dyDescent="0.25">
      <c r="B15" s="2">
        <v>11</v>
      </c>
      <c r="C15" t="s">
        <v>182</v>
      </c>
      <c r="D15" t="s">
        <v>180</v>
      </c>
      <c r="E15" t="s">
        <v>181</v>
      </c>
    </row>
    <row r="16" spans="2:10" x14ac:dyDescent="0.25">
      <c r="B16" s="2"/>
      <c r="E16" s="15" t="s">
        <v>245</v>
      </c>
    </row>
    <row r="17" spans="1:10" x14ac:dyDescent="0.25">
      <c r="B17" s="2">
        <v>12</v>
      </c>
      <c r="C17" t="s">
        <v>25</v>
      </c>
      <c r="D17" t="s">
        <v>33</v>
      </c>
      <c r="E17" t="s">
        <v>177</v>
      </c>
    </row>
    <row r="18" spans="1:10" x14ac:dyDescent="0.25">
      <c r="B18" s="2">
        <v>13</v>
      </c>
      <c r="C18" s="15" t="s">
        <v>251</v>
      </c>
      <c r="D18" t="s">
        <v>14</v>
      </c>
      <c r="E18" t="s">
        <v>21</v>
      </c>
    </row>
    <row r="19" spans="1:10" x14ac:dyDescent="0.25">
      <c r="B19" s="2">
        <v>14</v>
      </c>
      <c r="C19" t="s">
        <v>25</v>
      </c>
      <c r="D19" t="s">
        <v>33</v>
      </c>
      <c r="E19" t="s">
        <v>177</v>
      </c>
    </row>
    <row r="20" spans="1:10" x14ac:dyDescent="0.25">
      <c r="B20" s="2">
        <v>15</v>
      </c>
      <c r="C20" t="s">
        <v>183</v>
      </c>
      <c r="D20" t="s">
        <v>14</v>
      </c>
      <c r="E20" t="s">
        <v>195</v>
      </c>
    </row>
    <row r="21" spans="1:10" x14ac:dyDescent="0.25">
      <c r="B21" s="2">
        <v>16</v>
      </c>
      <c r="C21" t="s">
        <v>25</v>
      </c>
      <c r="D21" t="s">
        <v>33</v>
      </c>
      <c r="E21" t="s">
        <v>177</v>
      </c>
    </row>
    <row r="22" spans="1:10" x14ac:dyDescent="0.25">
      <c r="B22" s="2">
        <v>17</v>
      </c>
      <c r="C22" s="15" t="s">
        <v>250</v>
      </c>
      <c r="D22" t="s">
        <v>14</v>
      </c>
      <c r="E22" s="15" t="s">
        <v>246</v>
      </c>
    </row>
    <row r="23" spans="1:10" x14ac:dyDescent="0.25">
      <c r="B23" s="2">
        <v>18</v>
      </c>
      <c r="C23" t="s">
        <v>25</v>
      </c>
      <c r="D23" t="s">
        <v>33</v>
      </c>
      <c r="E23" t="s">
        <v>177</v>
      </c>
    </row>
    <row r="24" spans="1:10" x14ac:dyDescent="0.25">
      <c r="B24" s="2">
        <v>19</v>
      </c>
      <c r="C24" t="s">
        <v>184</v>
      </c>
      <c r="D24" t="s">
        <v>14</v>
      </c>
      <c r="E24" t="s">
        <v>196</v>
      </c>
    </row>
    <row r="25" spans="1:10" x14ac:dyDescent="0.25">
      <c r="B25" s="2">
        <v>20</v>
      </c>
      <c r="C25" t="s">
        <v>25</v>
      </c>
      <c r="D25" t="s">
        <v>33</v>
      </c>
      <c r="E25" t="s">
        <v>177</v>
      </c>
    </row>
    <row r="26" spans="1:10" x14ac:dyDescent="0.25">
      <c r="B26" s="2">
        <v>21</v>
      </c>
      <c r="C26" t="s">
        <v>267</v>
      </c>
      <c r="D26" t="s">
        <v>14</v>
      </c>
      <c r="E26" s="15" t="s">
        <v>258</v>
      </c>
    </row>
    <row r="27" spans="1:10" x14ac:dyDescent="0.25">
      <c r="B27" s="2">
        <v>22</v>
      </c>
      <c r="C27" t="s">
        <v>25</v>
      </c>
      <c r="D27" t="s">
        <v>33</v>
      </c>
      <c r="E27" s="22" t="s">
        <v>269</v>
      </c>
    </row>
    <row r="28" spans="1:10" x14ac:dyDescent="0.25">
      <c r="B28" s="2"/>
      <c r="E28" s="22"/>
    </row>
    <row r="30" spans="1:10" x14ac:dyDescent="0.25">
      <c r="B30" s="1" t="s">
        <v>22</v>
      </c>
    </row>
    <row r="31" spans="1:10" x14ac:dyDescent="0.25">
      <c r="B31" s="1"/>
    </row>
    <row r="32" spans="1:10" s="1" customFormat="1" ht="13.8" thickBot="1" x14ac:dyDescent="0.3">
      <c r="A32"/>
      <c r="C32" s="3" t="s">
        <v>38</v>
      </c>
      <c r="D32" s="3" t="s">
        <v>39</v>
      </c>
      <c r="E32" s="17" t="s">
        <v>40</v>
      </c>
      <c r="F32" s="17"/>
      <c r="G32" s="17"/>
      <c r="H32" s="17"/>
      <c r="I32"/>
      <c r="J32"/>
    </row>
    <row r="33" spans="2:5" ht="13.8" thickTop="1" x14ac:dyDescent="0.25">
      <c r="B33" s="2">
        <v>1</v>
      </c>
      <c r="C33" t="s">
        <v>1</v>
      </c>
      <c r="D33" t="s">
        <v>9</v>
      </c>
      <c r="E33" s="15" t="s">
        <v>248</v>
      </c>
    </row>
    <row r="34" spans="2:5" x14ac:dyDescent="0.25">
      <c r="B34" s="2">
        <v>2</v>
      </c>
      <c r="C34" t="s">
        <v>25</v>
      </c>
      <c r="D34" t="s">
        <v>33</v>
      </c>
      <c r="E34" t="s">
        <v>177</v>
      </c>
    </row>
    <row r="35" spans="2:5" x14ac:dyDescent="0.25">
      <c r="B35" s="2">
        <v>3</v>
      </c>
      <c r="C35" t="s">
        <v>2</v>
      </c>
      <c r="D35" t="s">
        <v>10</v>
      </c>
      <c r="E35" s="15" t="s">
        <v>247</v>
      </c>
    </row>
    <row r="36" spans="2:5" x14ac:dyDescent="0.25">
      <c r="B36" s="2">
        <v>4</v>
      </c>
      <c r="C36" t="s">
        <v>25</v>
      </c>
      <c r="D36" t="s">
        <v>33</v>
      </c>
      <c r="E36" t="s">
        <v>177</v>
      </c>
    </row>
    <row r="37" spans="2:5" x14ac:dyDescent="0.25">
      <c r="B37" s="2">
        <v>5</v>
      </c>
      <c r="C37" s="15" t="s">
        <v>252</v>
      </c>
      <c r="D37" t="s">
        <v>11</v>
      </c>
      <c r="E37" s="15" t="s">
        <v>249</v>
      </c>
    </row>
    <row r="38" spans="2:5" x14ac:dyDescent="0.25">
      <c r="B38" s="2">
        <v>6</v>
      </c>
      <c r="C38" t="s">
        <v>25</v>
      </c>
      <c r="D38" t="s">
        <v>33</v>
      </c>
      <c r="E38" t="s">
        <v>177</v>
      </c>
    </row>
    <row r="39" spans="2:5" x14ac:dyDescent="0.25">
      <c r="B39" s="2">
        <v>7</v>
      </c>
      <c r="C39" s="15" t="s">
        <v>254</v>
      </c>
      <c r="D39" t="s">
        <v>11</v>
      </c>
      <c r="E39" s="15" t="s">
        <v>249</v>
      </c>
    </row>
    <row r="40" spans="2:5" x14ac:dyDescent="0.25">
      <c r="B40" s="2">
        <v>8</v>
      </c>
      <c r="C40" t="s">
        <v>25</v>
      </c>
      <c r="D40" t="s">
        <v>33</v>
      </c>
      <c r="E40" t="s">
        <v>177</v>
      </c>
    </row>
    <row r="41" spans="2:5" x14ac:dyDescent="0.25">
      <c r="B41" s="2">
        <v>9</v>
      </c>
      <c r="C41" s="15" t="s">
        <v>253</v>
      </c>
      <c r="D41" t="s">
        <v>11</v>
      </c>
      <c r="E41" s="15" t="s">
        <v>211</v>
      </c>
    </row>
    <row r="42" spans="2:5" x14ac:dyDescent="0.25">
      <c r="B42" s="2">
        <v>10</v>
      </c>
      <c r="C42" t="s">
        <v>25</v>
      </c>
      <c r="D42" t="s">
        <v>33</v>
      </c>
      <c r="E42" t="s">
        <v>177</v>
      </c>
    </row>
    <row r="43" spans="2:5" x14ac:dyDescent="0.25">
      <c r="B43" s="2">
        <v>11</v>
      </c>
      <c r="C43" t="s">
        <v>26</v>
      </c>
      <c r="D43" t="s">
        <v>185</v>
      </c>
      <c r="E43" t="s">
        <v>186</v>
      </c>
    </row>
    <row r="44" spans="2:5" x14ac:dyDescent="0.25">
      <c r="B44" s="2">
        <v>12</v>
      </c>
      <c r="C44" t="s">
        <v>25</v>
      </c>
      <c r="D44" s="15" t="s">
        <v>255</v>
      </c>
      <c r="E44" t="s">
        <v>177</v>
      </c>
    </row>
    <row r="45" spans="2:5" x14ac:dyDescent="0.25">
      <c r="B45" s="2">
        <v>13</v>
      </c>
      <c r="C45" t="s">
        <v>187</v>
      </c>
      <c r="D45" t="s">
        <v>32</v>
      </c>
      <c r="E45" t="s">
        <v>188</v>
      </c>
    </row>
    <row r="46" spans="2:5" x14ac:dyDescent="0.25">
      <c r="B46" s="2">
        <v>14</v>
      </c>
      <c r="C46" t="s">
        <v>25</v>
      </c>
      <c r="D46" t="s">
        <v>33</v>
      </c>
      <c r="E46" t="s">
        <v>177</v>
      </c>
    </row>
    <row r="47" spans="2:5" x14ac:dyDescent="0.25">
      <c r="B47" s="2">
        <v>13</v>
      </c>
      <c r="C47" t="s">
        <v>189</v>
      </c>
      <c r="D47" s="15" t="s">
        <v>256</v>
      </c>
      <c r="E47" t="s">
        <v>190</v>
      </c>
    </row>
    <row r="48" spans="2:5" x14ac:dyDescent="0.25">
      <c r="B48" s="2">
        <v>14</v>
      </c>
      <c r="C48" t="s">
        <v>25</v>
      </c>
      <c r="D48" t="s">
        <v>33</v>
      </c>
      <c r="E48" t="s">
        <v>177</v>
      </c>
    </row>
    <row r="49" spans="2:5" x14ac:dyDescent="0.25">
      <c r="B49" s="2">
        <v>13</v>
      </c>
      <c r="C49" t="s">
        <v>191</v>
      </c>
      <c r="D49" t="s">
        <v>180</v>
      </c>
      <c r="E49" t="s">
        <v>192</v>
      </c>
    </row>
    <row r="50" spans="2:5" x14ac:dyDescent="0.25">
      <c r="B50" s="2"/>
      <c r="E50" s="15" t="s">
        <v>257</v>
      </c>
    </row>
    <row r="51" spans="2:5" x14ac:dyDescent="0.25">
      <c r="B51" s="2">
        <v>14</v>
      </c>
      <c r="C51" t="s">
        <v>25</v>
      </c>
      <c r="D51" t="s">
        <v>33</v>
      </c>
      <c r="E51" s="15" t="s">
        <v>177</v>
      </c>
    </row>
    <row r="52" spans="2:5" x14ac:dyDescent="0.25">
      <c r="B52" s="2">
        <v>15</v>
      </c>
      <c r="C52" s="15" t="s">
        <v>268</v>
      </c>
      <c r="D52" t="s">
        <v>14</v>
      </c>
      <c r="E52" t="s">
        <v>21</v>
      </c>
    </row>
    <row r="53" spans="2:5" x14ac:dyDescent="0.25">
      <c r="B53" s="2">
        <v>16</v>
      </c>
      <c r="C53" t="s">
        <v>25</v>
      </c>
      <c r="D53" t="s">
        <v>33</v>
      </c>
      <c r="E53" t="s">
        <v>177</v>
      </c>
    </row>
    <row r="54" spans="2:5" x14ac:dyDescent="0.25">
      <c r="B54" s="2">
        <v>17</v>
      </c>
      <c r="C54" t="s">
        <v>183</v>
      </c>
      <c r="D54" t="s">
        <v>14</v>
      </c>
      <c r="E54" t="s">
        <v>195</v>
      </c>
    </row>
    <row r="55" spans="2:5" x14ac:dyDescent="0.25">
      <c r="B55" s="2">
        <v>18</v>
      </c>
      <c r="C55" t="s">
        <v>25</v>
      </c>
      <c r="D55" t="s">
        <v>33</v>
      </c>
      <c r="E55" t="s">
        <v>177</v>
      </c>
    </row>
    <row r="56" spans="2:5" x14ac:dyDescent="0.25">
      <c r="B56" s="2">
        <v>19</v>
      </c>
      <c r="C56" s="15" t="s">
        <v>250</v>
      </c>
      <c r="D56" t="s">
        <v>14</v>
      </c>
      <c r="E56" s="15" t="s">
        <v>246</v>
      </c>
    </row>
    <row r="57" spans="2:5" x14ac:dyDescent="0.25">
      <c r="B57" s="2">
        <v>20</v>
      </c>
      <c r="C57" t="s">
        <v>25</v>
      </c>
      <c r="D57" t="s">
        <v>33</v>
      </c>
      <c r="E57" t="s">
        <v>177</v>
      </c>
    </row>
    <row r="58" spans="2:5" x14ac:dyDescent="0.25">
      <c r="B58" s="2">
        <v>21</v>
      </c>
      <c r="C58" t="s">
        <v>184</v>
      </c>
      <c r="D58" t="s">
        <v>14</v>
      </c>
      <c r="E58" t="s">
        <v>196</v>
      </c>
    </row>
    <row r="59" spans="2:5" x14ac:dyDescent="0.25">
      <c r="B59" s="2">
        <v>22</v>
      </c>
      <c r="C59" t="s">
        <v>25</v>
      </c>
      <c r="D59" t="s">
        <v>33</v>
      </c>
      <c r="E59" s="15" t="s">
        <v>177</v>
      </c>
    </row>
    <row r="60" spans="2:5" x14ac:dyDescent="0.25">
      <c r="B60" s="2">
        <v>23</v>
      </c>
      <c r="C60" s="15" t="s">
        <v>267</v>
      </c>
      <c r="D60" t="s">
        <v>14</v>
      </c>
      <c r="E60" s="15" t="s">
        <v>258</v>
      </c>
    </row>
    <row r="61" spans="2:5" x14ac:dyDescent="0.25">
      <c r="B61" s="2">
        <v>24</v>
      </c>
      <c r="C61" t="s">
        <v>25</v>
      </c>
      <c r="D61" t="s">
        <v>33</v>
      </c>
      <c r="E61" s="22" t="s">
        <v>269</v>
      </c>
    </row>
  </sheetData>
  <mergeCells count="1">
    <mergeCell ref="E4:J4"/>
  </mergeCells>
  <phoneticPr fontId="5" type="noConversion"/>
  <pageMargins left="0" right="0" top="0" bottom="0" header="0" footer="0"/>
  <pageSetup scale="8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pageSetUpPr fitToPage="1"/>
  </sheetPr>
  <dimension ref="B1:AS81"/>
  <sheetViews>
    <sheetView tabSelected="1" topLeftCell="V9" zoomScaleNormal="100" workbookViewId="0">
      <selection activeCell="AD24" sqref="AD24:AF27"/>
    </sheetView>
  </sheetViews>
  <sheetFormatPr baseColWidth="10" defaultRowHeight="13.2" x14ac:dyDescent="0.25"/>
  <cols>
    <col min="1" max="1" width="1.44140625" customWidth="1"/>
    <col min="2" max="2" width="4.77734375" customWidth="1"/>
    <col min="3" max="3" width="45.5546875" customWidth="1"/>
    <col min="4" max="4" width="15.21875" customWidth="1"/>
    <col min="12" max="12" width="6.5546875" customWidth="1"/>
    <col min="13" max="13" width="6.21875" customWidth="1"/>
    <col min="16" max="16" width="15.44140625" bestFit="1" customWidth="1"/>
    <col min="17" max="17" width="13.77734375" bestFit="1" customWidth="1"/>
    <col min="18" max="18" width="30.77734375" customWidth="1"/>
    <col min="19" max="19" width="15.77734375" bestFit="1" customWidth="1"/>
    <col min="20" max="20" width="13.44140625" bestFit="1" customWidth="1"/>
    <col min="21" max="21" width="15" bestFit="1" customWidth="1"/>
    <col min="22" max="22" width="13.21875" bestFit="1" customWidth="1"/>
    <col min="23" max="23" width="15.5546875" bestFit="1" customWidth="1"/>
    <col min="28" max="28" width="16.109375" bestFit="1" customWidth="1"/>
    <col min="29" max="29" width="17.21875" bestFit="1" customWidth="1"/>
    <col min="33" max="33" width="14.77734375" customWidth="1"/>
    <col min="44" max="44" width="12.88671875" bestFit="1" customWidth="1"/>
    <col min="45" max="45" width="17.21875" bestFit="1" customWidth="1"/>
  </cols>
  <sheetData>
    <row r="1" spans="2:45" ht="17.399999999999999" x14ac:dyDescent="0.3">
      <c r="D1" s="10"/>
      <c r="E1" s="10"/>
      <c r="F1" s="10"/>
      <c r="G1" s="10"/>
      <c r="H1" s="10"/>
      <c r="I1" s="10"/>
      <c r="J1" s="11" t="s">
        <v>178</v>
      </c>
      <c r="L1" s="9" t="s">
        <v>166</v>
      </c>
    </row>
    <row r="2" spans="2:45" s="1" customFormat="1" x14ac:dyDescent="0.25">
      <c r="B2" s="1" t="s">
        <v>0</v>
      </c>
    </row>
    <row r="3" spans="2:45" s="1" customFormat="1" x14ac:dyDescent="0.25"/>
    <row r="4" spans="2:45" s="1" customFormat="1" ht="13.8" thickBot="1" x14ac:dyDescent="0.3">
      <c r="C4" s="3" t="s">
        <v>38</v>
      </c>
      <c r="D4" s="3" t="s">
        <v>39</v>
      </c>
      <c r="E4" s="40" t="s">
        <v>40</v>
      </c>
      <c r="F4" s="40"/>
      <c r="G4" s="40"/>
      <c r="H4" s="40"/>
      <c r="I4" s="40"/>
      <c r="J4" s="40"/>
      <c r="L4" s="28" t="s">
        <v>0</v>
      </c>
    </row>
    <row r="5" spans="2:45" ht="13.8" thickTop="1" x14ac:dyDescent="0.25">
      <c r="B5" s="2">
        <v>1</v>
      </c>
      <c r="C5" t="s">
        <v>1</v>
      </c>
      <c r="D5" t="s">
        <v>9</v>
      </c>
      <c r="E5" s="46" t="s">
        <v>15</v>
      </c>
      <c r="F5" s="46"/>
      <c r="G5" s="46"/>
      <c r="H5" s="46"/>
      <c r="I5" s="46"/>
      <c r="J5" s="46"/>
      <c r="L5" s="48">
        <v>1</v>
      </c>
      <c r="M5" s="48"/>
      <c r="N5" s="12">
        <v>2</v>
      </c>
      <c r="O5" s="18" t="s">
        <v>210</v>
      </c>
      <c r="P5" s="12">
        <v>5</v>
      </c>
      <c r="Q5" s="12">
        <v>6</v>
      </c>
      <c r="R5" s="12">
        <v>7</v>
      </c>
      <c r="S5" s="12">
        <v>8</v>
      </c>
      <c r="T5" s="12">
        <v>9</v>
      </c>
      <c r="U5" s="12">
        <v>10</v>
      </c>
      <c r="V5" s="12">
        <v>11</v>
      </c>
      <c r="W5" s="12">
        <v>12</v>
      </c>
      <c r="X5" s="12">
        <v>13</v>
      </c>
      <c r="Y5" s="12">
        <v>14</v>
      </c>
      <c r="Z5" s="12">
        <v>15</v>
      </c>
      <c r="AA5" s="12">
        <v>16</v>
      </c>
      <c r="AB5" s="12">
        <v>17</v>
      </c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2:45" x14ac:dyDescent="0.25">
      <c r="B6" s="2">
        <v>2</v>
      </c>
      <c r="C6" s="30" t="s">
        <v>2</v>
      </c>
      <c r="D6" s="30" t="s">
        <v>10</v>
      </c>
      <c r="E6" s="44" t="s">
        <v>276</v>
      </c>
      <c r="F6" s="45"/>
      <c r="G6" s="45"/>
      <c r="H6" s="45"/>
      <c r="I6" s="45"/>
      <c r="J6" s="45"/>
      <c r="L6" s="4" t="str">
        <f>L12</f>
        <v>año</v>
      </c>
      <c r="M6" s="4" t="str">
        <f>M12</f>
        <v>qna</v>
      </c>
      <c r="N6" s="4" t="str">
        <f>N12</f>
        <v>constante</v>
      </c>
      <c r="O6" s="4" t="str">
        <f>O12</f>
        <v>organica</v>
      </c>
      <c r="P6" s="35" t="s">
        <v>41</v>
      </c>
      <c r="Q6" s="35" t="s">
        <v>42</v>
      </c>
      <c r="R6" s="35" t="s">
        <v>259</v>
      </c>
      <c r="S6" s="36" t="s">
        <v>260</v>
      </c>
      <c r="T6" s="36" t="s">
        <v>43</v>
      </c>
      <c r="U6" s="36" t="s">
        <v>44</v>
      </c>
      <c r="V6" s="36" t="s">
        <v>45</v>
      </c>
      <c r="W6" s="36" t="s">
        <v>46</v>
      </c>
      <c r="X6" s="37" t="s">
        <v>263</v>
      </c>
      <c r="Y6" s="37" t="s">
        <v>262</v>
      </c>
      <c r="Z6" s="37" t="s">
        <v>261</v>
      </c>
      <c r="AA6" s="36" t="s">
        <v>217</v>
      </c>
      <c r="AB6" s="36" t="s">
        <v>218</v>
      </c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</row>
    <row r="7" spans="2:45" x14ac:dyDescent="0.25">
      <c r="B7" s="2">
        <v>3</v>
      </c>
      <c r="C7" t="s">
        <v>3</v>
      </c>
      <c r="D7" t="s">
        <v>11</v>
      </c>
      <c r="E7" s="43" t="s">
        <v>122</v>
      </c>
      <c r="F7" s="43"/>
      <c r="G7" s="43"/>
      <c r="H7" s="43"/>
      <c r="I7" s="43"/>
      <c r="J7" s="43"/>
      <c r="L7" s="8" t="s">
        <v>207</v>
      </c>
      <c r="M7" s="6" t="s">
        <v>208</v>
      </c>
      <c r="N7" s="19" t="s">
        <v>47</v>
      </c>
      <c r="O7" s="20" t="s">
        <v>212</v>
      </c>
      <c r="P7" s="21" t="s">
        <v>274</v>
      </c>
      <c r="Q7">
        <v>20190228</v>
      </c>
      <c r="R7" s="21" t="s">
        <v>48</v>
      </c>
      <c r="S7" s="22" t="s">
        <v>49</v>
      </c>
      <c r="T7" s="22" t="s">
        <v>50</v>
      </c>
      <c r="U7" s="7" t="s">
        <v>51</v>
      </c>
      <c r="V7" s="7" t="s">
        <v>52</v>
      </c>
      <c r="W7" s="8" t="s">
        <v>53</v>
      </c>
      <c r="X7" s="20" t="s">
        <v>54</v>
      </c>
      <c r="Y7" s="8" t="s">
        <v>55</v>
      </c>
      <c r="Z7" s="8" t="s">
        <v>56</v>
      </c>
      <c r="AA7" s="8" t="s">
        <v>57</v>
      </c>
      <c r="AB7" s="8" t="s">
        <v>57</v>
      </c>
      <c r="AF7" s="6"/>
    </row>
    <row r="8" spans="2:45" x14ac:dyDescent="0.25">
      <c r="B8" s="2">
        <v>4</v>
      </c>
      <c r="C8" t="s">
        <v>4</v>
      </c>
      <c r="D8" t="s">
        <v>11</v>
      </c>
      <c r="E8" s="42" t="s">
        <v>211</v>
      </c>
      <c r="F8" s="43"/>
      <c r="G8" s="43"/>
      <c r="H8" s="43"/>
      <c r="I8" s="43"/>
      <c r="J8" s="43"/>
    </row>
    <row r="9" spans="2:45" x14ac:dyDescent="0.25">
      <c r="B9" s="2">
        <v>5</v>
      </c>
      <c r="C9" t="s">
        <v>5</v>
      </c>
      <c r="D9" t="s">
        <v>12</v>
      </c>
      <c r="E9" s="43" t="s">
        <v>16</v>
      </c>
      <c r="F9" s="43"/>
      <c r="G9" s="43"/>
      <c r="H9" s="43"/>
      <c r="I9" s="43"/>
      <c r="J9" s="43"/>
    </row>
    <row r="10" spans="2:45" x14ac:dyDescent="0.25">
      <c r="B10" s="2">
        <v>6</v>
      </c>
      <c r="C10" t="s">
        <v>6</v>
      </c>
      <c r="D10" t="s">
        <v>12</v>
      </c>
      <c r="E10" s="43" t="s">
        <v>17</v>
      </c>
      <c r="F10" s="43"/>
      <c r="G10" s="43"/>
      <c r="H10" s="43"/>
      <c r="I10" s="43"/>
      <c r="J10" s="43"/>
      <c r="L10" s="28" t="s">
        <v>22</v>
      </c>
    </row>
    <row r="11" spans="2:45" x14ac:dyDescent="0.25">
      <c r="B11" s="2">
        <v>7</v>
      </c>
      <c r="C11" t="s">
        <v>7</v>
      </c>
      <c r="D11" t="s">
        <v>13</v>
      </c>
      <c r="E11" s="43" t="s">
        <v>18</v>
      </c>
      <c r="F11" s="43"/>
      <c r="G11" s="43"/>
      <c r="H11" s="43"/>
      <c r="I11" s="43"/>
      <c r="J11" s="43"/>
      <c r="L11" s="25" t="s">
        <v>47</v>
      </c>
      <c r="M11" s="24"/>
      <c r="N11" s="26" t="s">
        <v>88</v>
      </c>
      <c r="O11" s="25" t="s">
        <v>221</v>
      </c>
      <c r="P11" s="26" t="s">
        <v>224</v>
      </c>
      <c r="Q11" s="12">
        <v>7</v>
      </c>
      <c r="R11" s="26" t="s">
        <v>225</v>
      </c>
      <c r="S11" s="31">
        <v>9</v>
      </c>
      <c r="T11" s="27">
        <v>10</v>
      </c>
      <c r="U11" s="32">
        <v>11</v>
      </c>
      <c r="V11" s="32">
        <v>12</v>
      </c>
      <c r="W11" s="33" t="s">
        <v>234</v>
      </c>
      <c r="X11" s="33"/>
      <c r="Y11" s="33"/>
      <c r="Z11" s="33"/>
      <c r="AA11" s="33"/>
      <c r="AB11" s="33"/>
      <c r="AC11" s="34"/>
      <c r="AD11" s="38"/>
      <c r="AE11" s="38"/>
      <c r="AF11" s="39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</row>
    <row r="12" spans="2:45" x14ac:dyDescent="0.25">
      <c r="B12" s="2"/>
      <c r="E12" s="43" t="s">
        <v>19</v>
      </c>
      <c r="F12" s="43"/>
      <c r="G12" s="43"/>
      <c r="H12" s="43"/>
      <c r="I12" s="43"/>
      <c r="J12" s="43"/>
      <c r="L12" s="4" t="s">
        <v>58</v>
      </c>
      <c r="M12" s="4" t="s">
        <v>59</v>
      </c>
      <c r="N12" s="4" t="s">
        <v>60</v>
      </c>
      <c r="O12" s="4" t="s">
        <v>61</v>
      </c>
      <c r="P12" s="4" t="s">
        <v>62</v>
      </c>
      <c r="Q12" s="4" t="s">
        <v>63</v>
      </c>
      <c r="R12" s="4" t="s">
        <v>64</v>
      </c>
      <c r="S12" s="35" t="s">
        <v>65</v>
      </c>
      <c r="T12" s="4" t="s">
        <v>66</v>
      </c>
      <c r="U12" s="35" t="s">
        <v>67</v>
      </c>
      <c r="V12" s="35" t="s">
        <v>68</v>
      </c>
      <c r="W12" s="35" t="s">
        <v>69</v>
      </c>
      <c r="X12" s="35" t="s">
        <v>70</v>
      </c>
      <c r="Y12" s="36" t="s">
        <v>265</v>
      </c>
      <c r="Z12" s="36" t="s">
        <v>71</v>
      </c>
      <c r="AA12" s="36" t="s">
        <v>72</v>
      </c>
      <c r="AB12" s="36" t="s">
        <v>73</v>
      </c>
      <c r="AC12" s="36" t="s">
        <v>74</v>
      </c>
      <c r="AD12" s="37" t="s">
        <v>75</v>
      </c>
      <c r="AE12" s="37" t="s">
        <v>76</v>
      </c>
      <c r="AF12" s="37" t="s">
        <v>241</v>
      </c>
      <c r="AG12" s="36" t="s">
        <v>77</v>
      </c>
      <c r="AH12" s="36" t="s">
        <v>78</v>
      </c>
      <c r="AI12" s="36" t="s">
        <v>79</v>
      </c>
      <c r="AJ12" s="36" t="s">
        <v>80</v>
      </c>
      <c r="AK12" s="36" t="s">
        <v>81</v>
      </c>
      <c r="AL12" s="36" t="s">
        <v>82</v>
      </c>
      <c r="AM12" s="36" t="s">
        <v>83</v>
      </c>
      <c r="AN12" s="36" t="s">
        <v>84</v>
      </c>
      <c r="AO12" s="36" t="s">
        <v>85</v>
      </c>
      <c r="AP12" s="36" t="s">
        <v>86</v>
      </c>
      <c r="AQ12" s="36" t="s">
        <v>87</v>
      </c>
      <c r="AR12" s="36" t="s">
        <v>242</v>
      </c>
      <c r="AS12" s="36" t="s">
        <v>243</v>
      </c>
    </row>
    <row r="13" spans="2:45" x14ac:dyDescent="0.25">
      <c r="B13" s="2">
        <v>8</v>
      </c>
      <c r="C13" s="15" t="s">
        <v>213</v>
      </c>
      <c r="D13" t="s">
        <v>13</v>
      </c>
      <c r="E13" s="42" t="s">
        <v>214</v>
      </c>
      <c r="F13" s="43"/>
      <c r="G13" s="43"/>
      <c r="H13" s="43"/>
      <c r="I13" s="43"/>
      <c r="J13" s="43"/>
      <c r="L13" s="20" t="s">
        <v>207</v>
      </c>
      <c r="M13" s="21" t="s">
        <v>208</v>
      </c>
      <c r="N13" s="19" t="s">
        <v>88</v>
      </c>
      <c r="O13" s="21" t="s">
        <v>220</v>
      </c>
      <c r="P13" s="6" t="s">
        <v>168</v>
      </c>
      <c r="Q13" s="6" t="s">
        <v>169</v>
      </c>
      <c r="R13" s="21" t="s">
        <v>226</v>
      </c>
      <c r="S13" s="21" t="s">
        <v>231</v>
      </c>
      <c r="T13" s="21" t="s">
        <v>209</v>
      </c>
      <c r="U13" s="6" t="s">
        <v>89</v>
      </c>
      <c r="V13" s="21" t="s">
        <v>90</v>
      </c>
      <c r="W13" s="6" t="s">
        <v>90</v>
      </c>
      <c r="X13" s="6" t="s">
        <v>91</v>
      </c>
      <c r="Y13" s="6" t="s">
        <v>92</v>
      </c>
      <c r="Z13" s="6" t="s">
        <v>93</v>
      </c>
      <c r="AA13" s="6" t="s">
        <v>94</v>
      </c>
      <c r="AB13" s="6" t="s">
        <v>95</v>
      </c>
      <c r="AC13" s="6" t="s">
        <v>95</v>
      </c>
      <c r="AD13" s="6" t="s">
        <v>96</v>
      </c>
      <c r="AE13" s="6" t="s">
        <v>90</v>
      </c>
      <c r="AF13" s="6" t="s">
        <v>90</v>
      </c>
      <c r="AG13" s="6" t="s">
        <v>90</v>
      </c>
      <c r="AH13" s="6" t="s">
        <v>97</v>
      </c>
      <c r="AJ13" s="6" t="s">
        <v>98</v>
      </c>
      <c r="AK13" s="6" t="s">
        <v>99</v>
      </c>
      <c r="AL13" s="6" t="s">
        <v>100</v>
      </c>
      <c r="AM13" s="6" t="s">
        <v>101</v>
      </c>
      <c r="AO13" s="6" t="s">
        <v>102</v>
      </c>
      <c r="AP13" s="6" t="s">
        <v>103</v>
      </c>
      <c r="AQ13" s="6" t="s">
        <v>104</v>
      </c>
      <c r="AR13" s="6" t="s">
        <v>90</v>
      </c>
      <c r="AS13" s="6" t="s">
        <v>90</v>
      </c>
    </row>
    <row r="14" spans="2:45" x14ac:dyDescent="0.25">
      <c r="B14" s="2"/>
      <c r="E14" s="42" t="s">
        <v>215</v>
      </c>
      <c r="F14" s="43"/>
      <c r="G14" s="43"/>
      <c r="H14" s="43"/>
      <c r="I14" s="43"/>
      <c r="J14" s="43"/>
      <c r="L14" s="20" t="s">
        <v>207</v>
      </c>
      <c r="M14" s="21" t="s">
        <v>208</v>
      </c>
      <c r="N14" s="19" t="s">
        <v>88</v>
      </c>
      <c r="O14" s="21" t="s">
        <v>220</v>
      </c>
      <c r="P14" s="6" t="s">
        <v>167</v>
      </c>
      <c r="Q14" s="6" t="s">
        <v>170</v>
      </c>
      <c r="R14" s="21" t="s">
        <v>227</v>
      </c>
      <c r="S14" s="21" t="s">
        <v>232</v>
      </c>
      <c r="T14" s="21" t="s">
        <v>209</v>
      </c>
      <c r="U14" s="6" t="s">
        <v>105</v>
      </c>
      <c r="V14" s="21" t="s">
        <v>90</v>
      </c>
      <c r="W14" s="6" t="s">
        <v>106</v>
      </c>
      <c r="X14" s="6" t="s">
        <v>107</v>
      </c>
      <c r="Y14" s="6" t="s">
        <v>108</v>
      </c>
      <c r="Z14" s="6" t="s">
        <v>109</v>
      </c>
      <c r="AA14" s="6" t="s">
        <v>110</v>
      </c>
      <c r="AB14" s="6" t="s">
        <v>95</v>
      </c>
      <c r="AC14" s="6" t="s">
        <v>95</v>
      </c>
      <c r="AD14" s="6" t="s">
        <v>90</v>
      </c>
      <c r="AE14" s="6" t="s">
        <v>90</v>
      </c>
      <c r="AF14" s="6" t="s">
        <v>90</v>
      </c>
      <c r="AG14" s="6" t="s">
        <v>90</v>
      </c>
      <c r="AK14" s="6" t="s">
        <v>99</v>
      </c>
      <c r="AL14" s="6" t="s">
        <v>100</v>
      </c>
      <c r="AM14" s="6" t="s">
        <v>101</v>
      </c>
      <c r="AO14" s="6" t="s">
        <v>111</v>
      </c>
      <c r="AP14" s="6" t="s">
        <v>103</v>
      </c>
      <c r="AQ14" s="6" t="s">
        <v>104</v>
      </c>
      <c r="AR14" s="21" t="s">
        <v>90</v>
      </c>
      <c r="AS14" s="6" t="s">
        <v>90</v>
      </c>
    </row>
    <row r="15" spans="2:45" x14ac:dyDescent="0.25">
      <c r="B15" s="2">
        <v>9</v>
      </c>
      <c r="C15" t="s">
        <v>8</v>
      </c>
      <c r="D15" t="s">
        <v>14</v>
      </c>
      <c r="E15" s="43" t="s">
        <v>20</v>
      </c>
      <c r="F15" s="43"/>
      <c r="G15" s="43"/>
      <c r="H15" s="43"/>
      <c r="I15" s="43"/>
      <c r="J15" s="43"/>
      <c r="L15" s="20" t="s">
        <v>207</v>
      </c>
      <c r="M15" s="22" t="s">
        <v>208</v>
      </c>
      <c r="N15" s="23">
        <v>2</v>
      </c>
      <c r="U15" t="s">
        <v>280</v>
      </c>
      <c r="V15" t="s">
        <v>280</v>
      </c>
      <c r="W15" t="s">
        <v>280</v>
      </c>
      <c r="X15" t="s">
        <v>280</v>
      </c>
      <c r="Y15" t="s">
        <v>280</v>
      </c>
      <c r="Z15" t="s">
        <v>279</v>
      </c>
      <c r="AA15" t="s">
        <v>279</v>
      </c>
      <c r="AB15" t="s">
        <v>281</v>
      </c>
      <c r="AC15" t="s">
        <v>281</v>
      </c>
      <c r="AD15" t="s">
        <v>278</v>
      </c>
      <c r="AE15" t="s">
        <v>278</v>
      </c>
      <c r="AF15" t="s">
        <v>278</v>
      </c>
      <c r="AG15" t="s">
        <v>279</v>
      </c>
      <c r="AH15" t="s">
        <v>281</v>
      </c>
      <c r="AI15" t="s">
        <v>281</v>
      </c>
      <c r="AJ15" t="s">
        <v>281</v>
      </c>
      <c r="AK15" t="s">
        <v>281</v>
      </c>
      <c r="AL15" t="s">
        <v>281</v>
      </c>
      <c r="AM15" t="s">
        <v>281</v>
      </c>
      <c r="AN15" t="s">
        <v>281</v>
      </c>
      <c r="AO15" t="s">
        <v>281</v>
      </c>
      <c r="AP15" t="s">
        <v>281</v>
      </c>
      <c r="AQ15" t="s">
        <v>281</v>
      </c>
      <c r="AR15" t="s">
        <v>281</v>
      </c>
      <c r="AS15" t="s">
        <v>281</v>
      </c>
    </row>
    <row r="16" spans="2:45" ht="31.2" customHeight="1" x14ac:dyDescent="0.25">
      <c r="B16" s="2"/>
      <c r="E16" s="43" t="s">
        <v>112</v>
      </c>
      <c r="F16" s="43"/>
      <c r="G16" s="43"/>
      <c r="H16" s="43"/>
      <c r="I16" s="43"/>
      <c r="J16" s="43"/>
      <c r="S16" s="41" t="s">
        <v>282</v>
      </c>
      <c r="U16" s="41" t="s">
        <v>283</v>
      </c>
      <c r="V16" s="41" t="s">
        <v>284</v>
      </c>
      <c r="W16" s="41" t="s">
        <v>285</v>
      </c>
      <c r="X16" s="41" t="s">
        <v>286</v>
      </c>
      <c r="Y16" s="41" t="s">
        <v>287</v>
      </c>
      <c r="Z16" s="41" t="s">
        <v>291</v>
      </c>
      <c r="AA16" s="41" t="s">
        <v>290</v>
      </c>
      <c r="AB16" s="41" t="s">
        <v>292</v>
      </c>
      <c r="AC16" s="41" t="s">
        <v>293</v>
      </c>
      <c r="AD16" s="41" t="s">
        <v>297</v>
      </c>
      <c r="AE16" s="41" t="s">
        <v>299</v>
      </c>
      <c r="AF16" s="41" t="s">
        <v>298</v>
      </c>
      <c r="AG16" s="41" t="s">
        <v>294</v>
      </c>
      <c r="AR16" s="41" t="s">
        <v>295</v>
      </c>
      <c r="AS16" s="41" t="s">
        <v>296</v>
      </c>
    </row>
    <row r="17" spans="2:45" ht="31.2" customHeight="1" x14ac:dyDescent="0.25">
      <c r="B17" s="2">
        <v>10</v>
      </c>
      <c r="C17" t="s">
        <v>131</v>
      </c>
      <c r="D17" t="s">
        <v>14</v>
      </c>
      <c r="E17" s="42" t="s">
        <v>216</v>
      </c>
      <c r="F17" s="43"/>
      <c r="G17" s="43"/>
      <c r="H17" s="43"/>
      <c r="I17" s="43"/>
      <c r="J17" s="43"/>
      <c r="S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R17" s="41"/>
      <c r="AS17" s="41"/>
    </row>
    <row r="18" spans="2:45" ht="31.2" customHeight="1" x14ac:dyDescent="0.25">
      <c r="B18" s="2"/>
      <c r="E18" s="43" t="s">
        <v>171</v>
      </c>
      <c r="F18" s="43"/>
      <c r="G18" s="43"/>
      <c r="H18" s="43"/>
      <c r="I18" s="43"/>
      <c r="J18" s="43"/>
      <c r="S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R18" s="41"/>
      <c r="AS18" s="41"/>
    </row>
    <row r="19" spans="2:45" x14ac:dyDescent="0.25">
      <c r="B19" s="2">
        <v>11</v>
      </c>
      <c r="C19" t="s">
        <v>113</v>
      </c>
      <c r="D19" t="s">
        <v>14</v>
      </c>
      <c r="E19" s="43" t="s">
        <v>172</v>
      </c>
      <c r="F19" s="43"/>
      <c r="G19" s="43"/>
      <c r="H19" s="43"/>
      <c r="I19" s="43"/>
      <c r="J19" s="43"/>
      <c r="S19" s="2" t="s">
        <v>288</v>
      </c>
      <c r="T19" s="2"/>
      <c r="U19" s="2" t="s">
        <v>288</v>
      </c>
      <c r="V19" s="2" t="s">
        <v>288</v>
      </c>
      <c r="W19" s="2" t="s">
        <v>288</v>
      </c>
      <c r="X19" s="2" t="s">
        <v>289</v>
      </c>
      <c r="Y19" s="2" t="s">
        <v>289</v>
      </c>
      <c r="Z19" s="2" t="s">
        <v>289</v>
      </c>
      <c r="AA19" s="2" t="s">
        <v>289</v>
      </c>
      <c r="AB19" s="2" t="s">
        <v>288</v>
      </c>
      <c r="AC19" s="2" t="s">
        <v>288</v>
      </c>
      <c r="AD19" s="2" t="s">
        <v>302</v>
      </c>
      <c r="AE19" s="2" t="s">
        <v>302</v>
      </c>
      <c r="AF19" s="2" t="s">
        <v>302</v>
      </c>
      <c r="AG19" s="2" t="s">
        <v>288</v>
      </c>
      <c r="AH19" s="2" t="s">
        <v>288</v>
      </c>
      <c r="AI19" s="2" t="s">
        <v>288</v>
      </c>
      <c r="AJ19" s="2" t="s">
        <v>288</v>
      </c>
      <c r="AK19" s="2" t="s">
        <v>288</v>
      </c>
      <c r="AL19" s="2" t="s">
        <v>288</v>
      </c>
      <c r="AM19" s="2" t="s">
        <v>288</v>
      </c>
      <c r="AN19" s="2" t="s">
        <v>288</v>
      </c>
      <c r="AO19" s="2" t="s">
        <v>288</v>
      </c>
      <c r="AP19" s="2" t="s">
        <v>288</v>
      </c>
      <c r="AQ19" s="2" t="s">
        <v>288</v>
      </c>
      <c r="AR19" s="2" t="s">
        <v>289</v>
      </c>
      <c r="AS19" s="2" t="s">
        <v>288</v>
      </c>
    </row>
    <row r="20" spans="2:45" ht="48" x14ac:dyDescent="0.25">
      <c r="B20" s="2">
        <v>12</v>
      </c>
      <c r="C20" t="s">
        <v>114</v>
      </c>
      <c r="D20" t="s">
        <v>14</v>
      </c>
      <c r="E20" s="43" t="s">
        <v>173</v>
      </c>
      <c r="F20" s="43"/>
      <c r="G20" s="43"/>
      <c r="H20" s="43"/>
      <c r="I20" s="43"/>
      <c r="J20" s="43"/>
      <c r="AD20" s="50" t="s">
        <v>300</v>
      </c>
      <c r="AE20" s="50" t="s">
        <v>303</v>
      </c>
      <c r="AF20" s="50" t="s">
        <v>304</v>
      </c>
    </row>
    <row r="21" spans="2:45" x14ac:dyDescent="0.25">
      <c r="B21" s="2">
        <v>13</v>
      </c>
      <c r="C21" t="s">
        <v>115</v>
      </c>
      <c r="D21" t="s">
        <v>14</v>
      </c>
      <c r="E21" s="43" t="s">
        <v>174</v>
      </c>
      <c r="F21" s="43"/>
      <c r="G21" s="43"/>
      <c r="H21" s="43"/>
      <c r="I21" s="43"/>
      <c r="J21" s="43"/>
      <c r="L21" s="47" t="s">
        <v>277</v>
      </c>
      <c r="M21" s="47"/>
      <c r="N21" s="47"/>
      <c r="O21" s="47"/>
      <c r="P21" s="47"/>
      <c r="Q21" s="47"/>
      <c r="R21" s="47"/>
      <c r="AD21" s="50" t="s">
        <v>301</v>
      </c>
      <c r="AE21" s="50" t="s">
        <v>301</v>
      </c>
      <c r="AF21" s="50" t="s">
        <v>305</v>
      </c>
    </row>
    <row r="22" spans="2:45" x14ac:dyDescent="0.25">
      <c r="B22" s="2">
        <v>14</v>
      </c>
      <c r="C22" t="s">
        <v>117</v>
      </c>
      <c r="D22" t="s">
        <v>14</v>
      </c>
      <c r="E22" s="43" t="s">
        <v>175</v>
      </c>
      <c r="F22" s="43"/>
      <c r="G22" s="43"/>
      <c r="H22" s="43"/>
      <c r="I22" s="43"/>
      <c r="J22" s="43"/>
      <c r="L22" s="47"/>
      <c r="M22" s="47"/>
      <c r="N22" s="47"/>
      <c r="O22" s="47"/>
      <c r="P22" s="47"/>
      <c r="Q22" s="47"/>
      <c r="R22" s="47"/>
    </row>
    <row r="23" spans="2:45" x14ac:dyDescent="0.25">
      <c r="B23" s="2">
        <v>15</v>
      </c>
      <c r="C23" t="s">
        <v>116</v>
      </c>
      <c r="D23" t="s">
        <v>14</v>
      </c>
      <c r="E23" s="43" t="s">
        <v>176</v>
      </c>
      <c r="F23" s="43"/>
      <c r="G23" s="43"/>
      <c r="H23" s="43"/>
      <c r="I23" s="43"/>
      <c r="J23" s="43"/>
      <c r="L23" s="47"/>
      <c r="M23" s="47"/>
      <c r="N23" s="47"/>
      <c r="O23" s="47"/>
      <c r="P23" s="47"/>
      <c r="Q23" s="47"/>
      <c r="R23" s="47"/>
    </row>
    <row r="24" spans="2:45" x14ac:dyDescent="0.25">
      <c r="B24" s="2">
        <v>16</v>
      </c>
      <c r="C24" t="s">
        <v>199</v>
      </c>
      <c r="D24" t="s">
        <v>14</v>
      </c>
      <c r="E24" s="42" t="s">
        <v>270</v>
      </c>
      <c r="F24" s="43"/>
      <c r="G24" s="43"/>
      <c r="H24" s="43"/>
      <c r="I24" s="43"/>
      <c r="J24" s="43"/>
      <c r="L24" s="47"/>
      <c r="M24" s="47"/>
      <c r="N24" s="47"/>
      <c r="O24" s="47"/>
      <c r="P24" s="47"/>
      <c r="Q24" s="47"/>
      <c r="R24" s="47"/>
      <c r="AD24" s="51" t="s">
        <v>306</v>
      </c>
      <c r="AE24" s="51"/>
      <c r="AF24" s="51"/>
    </row>
    <row r="25" spans="2:45" x14ac:dyDescent="0.25">
      <c r="B25" s="2"/>
      <c r="E25" s="42" t="s">
        <v>271</v>
      </c>
      <c r="F25" s="43"/>
      <c r="G25" s="43"/>
      <c r="H25" s="43"/>
      <c r="I25" s="43"/>
      <c r="J25" s="43"/>
      <c r="L25" s="47"/>
      <c r="M25" s="47"/>
      <c r="N25" s="47"/>
      <c r="O25" s="47"/>
      <c r="P25" s="47"/>
      <c r="Q25" s="47"/>
      <c r="R25" s="47"/>
      <c r="AD25" s="51"/>
      <c r="AE25" s="51"/>
      <c r="AF25" s="51"/>
    </row>
    <row r="26" spans="2:45" x14ac:dyDescent="0.25">
      <c r="B26" s="2">
        <v>17</v>
      </c>
      <c r="C26" t="s">
        <v>193</v>
      </c>
      <c r="D26" t="s">
        <v>14</v>
      </c>
      <c r="E26" s="42" t="s">
        <v>272</v>
      </c>
      <c r="F26" s="43"/>
      <c r="G26" s="43"/>
      <c r="H26" s="43"/>
      <c r="I26" s="43"/>
      <c r="J26" s="43"/>
      <c r="AD26" s="51"/>
      <c r="AE26" s="51"/>
      <c r="AF26" s="51"/>
    </row>
    <row r="27" spans="2:45" x14ac:dyDescent="0.25">
      <c r="AD27" s="51"/>
      <c r="AE27" s="51"/>
      <c r="AF27" s="51"/>
    </row>
    <row r="28" spans="2:45" x14ac:dyDescent="0.25">
      <c r="B28" s="1" t="s">
        <v>22</v>
      </c>
    </row>
    <row r="29" spans="2:45" x14ac:dyDescent="0.25">
      <c r="B29" s="1"/>
    </row>
    <row r="30" spans="2:45" s="1" customFormat="1" ht="13.8" thickBot="1" x14ac:dyDescent="0.3">
      <c r="C30" s="3" t="s">
        <v>38</v>
      </c>
      <c r="D30" s="3" t="s">
        <v>39</v>
      </c>
      <c r="E30" s="40" t="s">
        <v>40</v>
      </c>
      <c r="F30" s="40"/>
      <c r="G30" s="40"/>
      <c r="H30" s="40"/>
      <c r="I30" s="40"/>
      <c r="J30" s="4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</row>
    <row r="31" spans="2:45" ht="13.8" thickTop="1" x14ac:dyDescent="0.25">
      <c r="B31" s="2">
        <v>1</v>
      </c>
      <c r="C31" t="s">
        <v>1</v>
      </c>
      <c r="D31" t="s">
        <v>9</v>
      </c>
      <c r="E31" s="49" t="s">
        <v>264</v>
      </c>
      <c r="F31" s="46"/>
      <c r="G31" s="46"/>
      <c r="H31" s="46"/>
      <c r="I31" s="46"/>
      <c r="J31" s="4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2:45" x14ac:dyDescent="0.25">
      <c r="B32" s="2">
        <v>2</v>
      </c>
      <c r="C32" t="s">
        <v>23</v>
      </c>
      <c r="D32" t="s">
        <v>10</v>
      </c>
      <c r="E32" s="42" t="s">
        <v>219</v>
      </c>
      <c r="F32" s="43"/>
      <c r="G32" s="43"/>
      <c r="H32" s="43"/>
      <c r="I32" s="43"/>
      <c r="J32" s="43"/>
    </row>
    <row r="33" spans="2:10" x14ac:dyDescent="0.25">
      <c r="B33" s="2">
        <v>3</v>
      </c>
      <c r="C33" t="s">
        <v>3</v>
      </c>
      <c r="D33" t="s">
        <v>11</v>
      </c>
      <c r="E33" s="43" t="s">
        <v>122</v>
      </c>
      <c r="F33" s="43"/>
      <c r="G33" s="43"/>
      <c r="H33" s="43"/>
      <c r="I33" s="43"/>
      <c r="J33" s="43"/>
    </row>
    <row r="34" spans="2:10" x14ac:dyDescent="0.25">
      <c r="B34" s="2">
        <v>4</v>
      </c>
      <c r="C34" t="s">
        <v>4</v>
      </c>
      <c r="D34" t="s">
        <v>11</v>
      </c>
      <c r="E34" s="42" t="s">
        <v>211</v>
      </c>
      <c r="F34" s="43"/>
      <c r="G34" s="43"/>
      <c r="H34" s="43"/>
      <c r="I34" s="43"/>
      <c r="J34" s="43"/>
    </row>
    <row r="35" spans="2:10" x14ac:dyDescent="0.25">
      <c r="B35" s="2">
        <v>5</v>
      </c>
      <c r="C35" t="s">
        <v>123</v>
      </c>
      <c r="D35" t="s">
        <v>11</v>
      </c>
      <c r="E35" s="42" t="s">
        <v>211</v>
      </c>
      <c r="F35" s="43"/>
      <c r="G35" s="43"/>
      <c r="H35" s="43"/>
      <c r="I35" s="43"/>
      <c r="J35" s="43"/>
    </row>
    <row r="36" spans="2:10" x14ac:dyDescent="0.25">
      <c r="B36" s="2">
        <v>6</v>
      </c>
      <c r="C36" t="s">
        <v>26</v>
      </c>
      <c r="D36" t="s">
        <v>124</v>
      </c>
      <c r="E36" s="43" t="s">
        <v>119</v>
      </c>
      <c r="F36" s="43"/>
      <c r="G36" s="43"/>
      <c r="H36" s="43"/>
      <c r="I36" s="43"/>
      <c r="J36" s="43"/>
    </row>
    <row r="37" spans="2:10" x14ac:dyDescent="0.25">
      <c r="B37" s="2">
        <v>7</v>
      </c>
      <c r="C37" t="s">
        <v>24</v>
      </c>
      <c r="D37" t="s">
        <v>118</v>
      </c>
      <c r="E37" s="43" t="s">
        <v>34</v>
      </c>
      <c r="F37" s="43"/>
      <c r="G37" s="43"/>
      <c r="H37" s="43"/>
      <c r="I37" s="43"/>
      <c r="J37" s="43"/>
    </row>
    <row r="38" spans="2:10" x14ac:dyDescent="0.25">
      <c r="B38" s="2">
        <v>8</v>
      </c>
      <c r="C38" t="s">
        <v>120</v>
      </c>
      <c r="D38" t="s">
        <v>125</v>
      </c>
      <c r="E38" s="42" t="s">
        <v>222</v>
      </c>
      <c r="F38" s="43"/>
      <c r="G38" s="43"/>
      <c r="H38" s="43"/>
      <c r="I38" s="43"/>
      <c r="J38" s="43"/>
    </row>
    <row r="39" spans="2:10" x14ac:dyDescent="0.25">
      <c r="B39" s="2"/>
      <c r="E39" s="42" t="s">
        <v>223</v>
      </c>
      <c r="F39" s="43"/>
      <c r="G39" s="43"/>
      <c r="H39" s="43"/>
      <c r="I39" s="43"/>
      <c r="J39" s="43"/>
    </row>
    <row r="40" spans="2:10" x14ac:dyDescent="0.25">
      <c r="B40" s="2">
        <v>9</v>
      </c>
      <c r="C40" t="s">
        <v>126</v>
      </c>
      <c r="D40" t="s">
        <v>127</v>
      </c>
      <c r="E40" s="42" t="s">
        <v>228</v>
      </c>
      <c r="F40" s="43"/>
      <c r="G40" s="43"/>
      <c r="H40" s="43"/>
      <c r="I40" s="43"/>
      <c r="J40" s="43"/>
    </row>
    <row r="41" spans="2:10" x14ac:dyDescent="0.25">
      <c r="B41" s="2"/>
      <c r="E41" s="42" t="s">
        <v>229</v>
      </c>
      <c r="F41" s="43"/>
      <c r="G41" s="43"/>
      <c r="H41" s="43"/>
      <c r="I41" s="43"/>
      <c r="J41" s="43"/>
    </row>
    <row r="42" spans="2:10" x14ac:dyDescent="0.25">
      <c r="B42" s="2">
        <v>10</v>
      </c>
      <c r="C42" t="s">
        <v>30</v>
      </c>
      <c r="D42" t="s">
        <v>12</v>
      </c>
      <c r="E42" s="42" t="s">
        <v>230</v>
      </c>
      <c r="F42" s="43"/>
      <c r="G42" s="43"/>
      <c r="H42" s="43"/>
      <c r="I42" s="43"/>
      <c r="J42" s="43"/>
    </row>
    <row r="43" spans="2:10" x14ac:dyDescent="0.25">
      <c r="B43" s="2">
        <v>11</v>
      </c>
      <c r="C43" t="s">
        <v>27</v>
      </c>
      <c r="D43" t="s">
        <v>121</v>
      </c>
      <c r="E43" s="43" t="s">
        <v>36</v>
      </c>
      <c r="F43" s="43"/>
      <c r="G43" s="43"/>
      <c r="H43" s="43"/>
      <c r="I43" s="43"/>
      <c r="J43" s="43"/>
    </row>
    <row r="44" spans="2:10" x14ac:dyDescent="0.25">
      <c r="B44" s="2">
        <v>12</v>
      </c>
      <c r="C44" t="s">
        <v>28</v>
      </c>
      <c r="D44" t="s">
        <v>121</v>
      </c>
      <c r="E44" s="42" t="s">
        <v>233</v>
      </c>
      <c r="F44" s="43"/>
      <c r="G44" s="43"/>
      <c r="H44" s="43"/>
      <c r="I44" s="43"/>
      <c r="J44" s="43"/>
    </row>
    <row r="45" spans="2:10" x14ac:dyDescent="0.25">
      <c r="B45" s="2">
        <v>13</v>
      </c>
      <c r="C45" t="s">
        <v>29</v>
      </c>
      <c r="D45" t="s">
        <v>121</v>
      </c>
      <c r="E45" s="43" t="s">
        <v>37</v>
      </c>
      <c r="F45" s="43"/>
      <c r="G45" s="43"/>
      <c r="H45" s="43"/>
      <c r="I45" s="43"/>
      <c r="J45" s="43"/>
    </row>
    <row r="46" spans="2:10" x14ac:dyDescent="0.25">
      <c r="B46" s="2">
        <v>14</v>
      </c>
      <c r="C46" t="s">
        <v>7</v>
      </c>
      <c r="D46" t="s">
        <v>121</v>
      </c>
      <c r="E46" s="43" t="s">
        <v>163</v>
      </c>
      <c r="F46" s="43"/>
      <c r="G46" s="43"/>
      <c r="H46" s="43"/>
      <c r="I46" s="43"/>
      <c r="J46" s="43"/>
    </row>
    <row r="47" spans="2:10" x14ac:dyDescent="0.25">
      <c r="B47" s="2"/>
      <c r="E47" s="43" t="s">
        <v>164</v>
      </c>
      <c r="F47" s="43"/>
      <c r="G47" s="43"/>
      <c r="H47" s="43"/>
      <c r="I47" s="43"/>
      <c r="J47" s="43"/>
    </row>
    <row r="48" spans="2:10" x14ac:dyDescent="0.25">
      <c r="B48" s="2">
        <v>15</v>
      </c>
      <c r="C48" s="15" t="s">
        <v>213</v>
      </c>
      <c r="D48" t="s">
        <v>121</v>
      </c>
      <c r="E48" s="42" t="s">
        <v>235</v>
      </c>
      <c r="F48" s="43"/>
      <c r="G48" s="43"/>
      <c r="H48" s="43"/>
      <c r="I48" s="43"/>
      <c r="J48" s="43"/>
    </row>
    <row r="49" spans="2:10" x14ac:dyDescent="0.25">
      <c r="B49" s="2"/>
      <c r="E49" s="42" t="s">
        <v>236</v>
      </c>
      <c r="F49" s="43"/>
      <c r="G49" s="43"/>
      <c r="H49" s="43"/>
      <c r="I49" s="43"/>
      <c r="J49" s="43"/>
    </row>
    <row r="50" spans="2:10" x14ac:dyDescent="0.25">
      <c r="B50" s="2">
        <v>16</v>
      </c>
      <c r="C50" t="s">
        <v>128</v>
      </c>
      <c r="D50" t="s">
        <v>129</v>
      </c>
      <c r="E50" s="43" t="s">
        <v>130</v>
      </c>
      <c r="F50" s="43"/>
      <c r="G50" s="43"/>
      <c r="H50" s="43"/>
      <c r="I50" s="43"/>
      <c r="J50" s="43"/>
    </row>
    <row r="51" spans="2:10" x14ac:dyDescent="0.25">
      <c r="B51" s="2"/>
      <c r="E51" s="43" t="s">
        <v>35</v>
      </c>
      <c r="F51" s="43"/>
      <c r="G51" s="43"/>
      <c r="H51" s="43"/>
      <c r="I51" s="43"/>
      <c r="J51" s="43"/>
    </row>
    <row r="52" spans="2:10" x14ac:dyDescent="0.25">
      <c r="B52" s="2">
        <v>17</v>
      </c>
      <c r="C52" t="s">
        <v>131</v>
      </c>
      <c r="D52" t="s">
        <v>129</v>
      </c>
      <c r="E52" s="43" t="s">
        <v>132</v>
      </c>
      <c r="F52" s="43"/>
      <c r="G52" s="43"/>
      <c r="H52" s="43"/>
      <c r="I52" s="43"/>
      <c r="J52" s="43"/>
    </row>
    <row r="53" spans="2:10" x14ac:dyDescent="0.25">
      <c r="B53" s="2"/>
      <c r="E53" s="43" t="s">
        <v>133</v>
      </c>
      <c r="F53" s="43"/>
      <c r="G53" s="43"/>
      <c r="H53" s="43"/>
      <c r="I53" s="43"/>
      <c r="J53" s="43"/>
    </row>
    <row r="54" spans="2:10" x14ac:dyDescent="0.25">
      <c r="B54" s="2">
        <v>18</v>
      </c>
      <c r="C54" t="s">
        <v>134</v>
      </c>
      <c r="D54" t="s">
        <v>129</v>
      </c>
      <c r="E54" s="43" t="s">
        <v>135</v>
      </c>
      <c r="F54" s="43"/>
      <c r="G54" s="43"/>
      <c r="H54" s="43"/>
      <c r="I54" s="43"/>
      <c r="J54" s="43"/>
    </row>
    <row r="55" spans="2:10" x14ac:dyDescent="0.25">
      <c r="B55" s="2"/>
      <c r="E55" s="43" t="s">
        <v>136</v>
      </c>
      <c r="F55" s="43"/>
      <c r="G55" s="43"/>
      <c r="H55" s="43"/>
      <c r="I55" s="43"/>
      <c r="J55" s="43"/>
    </row>
    <row r="56" spans="2:10" x14ac:dyDescent="0.25">
      <c r="B56" s="2">
        <v>19</v>
      </c>
      <c r="C56" t="s">
        <v>137</v>
      </c>
      <c r="D56" t="s">
        <v>129</v>
      </c>
      <c r="E56" s="43" t="s">
        <v>138</v>
      </c>
      <c r="F56" s="43"/>
      <c r="G56" s="43"/>
      <c r="H56" s="43"/>
      <c r="I56" s="43"/>
      <c r="J56" s="43"/>
    </row>
    <row r="57" spans="2:10" x14ac:dyDescent="0.25">
      <c r="B57" s="2"/>
      <c r="E57" s="43" t="s">
        <v>136</v>
      </c>
      <c r="F57" s="43"/>
      <c r="G57" s="43"/>
      <c r="H57" s="43"/>
      <c r="I57" s="43"/>
      <c r="J57" s="43"/>
    </row>
    <row r="58" spans="2:10" x14ac:dyDescent="0.25">
      <c r="B58" s="2">
        <v>20</v>
      </c>
      <c r="C58" t="s">
        <v>139</v>
      </c>
      <c r="D58" t="s">
        <v>121</v>
      </c>
      <c r="E58" s="43" t="s">
        <v>141</v>
      </c>
      <c r="F58" s="43"/>
      <c r="G58" s="43"/>
      <c r="H58" s="43"/>
      <c r="I58" s="43"/>
      <c r="J58" s="43"/>
    </row>
    <row r="59" spans="2:10" x14ac:dyDescent="0.25">
      <c r="B59" s="2">
        <v>21</v>
      </c>
      <c r="C59" t="s">
        <v>140</v>
      </c>
      <c r="D59" t="s">
        <v>121</v>
      </c>
      <c r="E59" s="43" t="s">
        <v>142</v>
      </c>
      <c r="F59" s="43"/>
      <c r="G59" s="43"/>
      <c r="H59" s="43"/>
      <c r="I59" s="43"/>
      <c r="J59" s="43"/>
    </row>
    <row r="60" spans="2:10" x14ac:dyDescent="0.25">
      <c r="B60" s="2">
        <v>22</v>
      </c>
      <c r="C60" t="s">
        <v>273</v>
      </c>
      <c r="D60" t="s">
        <v>121</v>
      </c>
      <c r="E60" s="43" t="s">
        <v>238</v>
      </c>
      <c r="F60" s="43"/>
      <c r="G60" s="43"/>
      <c r="H60" s="43"/>
      <c r="I60" s="43"/>
      <c r="J60" s="43"/>
    </row>
    <row r="61" spans="2:10" x14ac:dyDescent="0.25">
      <c r="B61" s="2">
        <v>23</v>
      </c>
      <c r="C61" t="s">
        <v>31</v>
      </c>
      <c r="D61" t="s">
        <v>121</v>
      </c>
      <c r="E61" s="43" t="s">
        <v>237</v>
      </c>
      <c r="F61" s="43"/>
      <c r="G61" s="43"/>
      <c r="H61" s="43"/>
      <c r="I61" s="43"/>
      <c r="J61" s="43"/>
    </row>
    <row r="62" spans="2:10" x14ac:dyDescent="0.25">
      <c r="B62" s="2">
        <v>24</v>
      </c>
      <c r="C62" t="s">
        <v>143</v>
      </c>
      <c r="D62" t="s">
        <v>153</v>
      </c>
      <c r="E62" s="43" t="s">
        <v>165</v>
      </c>
      <c r="F62" s="43"/>
      <c r="G62" s="43"/>
      <c r="H62" s="43"/>
      <c r="I62" s="43"/>
      <c r="J62" s="43"/>
    </row>
    <row r="63" spans="2:10" x14ac:dyDescent="0.25">
      <c r="B63" s="2">
        <v>25</v>
      </c>
      <c r="C63" t="s">
        <v>144</v>
      </c>
      <c r="D63" t="s">
        <v>153</v>
      </c>
      <c r="E63" s="43" t="s">
        <v>157</v>
      </c>
      <c r="F63" s="43"/>
      <c r="G63" s="43"/>
      <c r="H63" s="43"/>
      <c r="I63" s="43"/>
      <c r="J63" s="43"/>
    </row>
    <row r="64" spans="2:10" x14ac:dyDescent="0.25">
      <c r="B64" s="2">
        <v>26</v>
      </c>
      <c r="C64" t="s">
        <v>145</v>
      </c>
      <c r="D64" t="s">
        <v>154</v>
      </c>
      <c r="E64" s="43" t="s">
        <v>158</v>
      </c>
      <c r="F64" s="43"/>
      <c r="G64" s="43"/>
      <c r="H64" s="43"/>
      <c r="I64" s="43"/>
      <c r="J64" s="43"/>
    </row>
    <row r="65" spans="2:11" x14ac:dyDescent="0.25">
      <c r="B65" s="2">
        <v>27</v>
      </c>
      <c r="C65" t="s">
        <v>146</v>
      </c>
      <c r="D65" t="s">
        <v>11</v>
      </c>
      <c r="E65" s="43" t="s">
        <v>159</v>
      </c>
      <c r="F65" s="43"/>
      <c r="G65" s="43"/>
      <c r="H65" s="43"/>
      <c r="I65" s="43"/>
      <c r="J65" s="43"/>
    </row>
    <row r="66" spans="2:11" x14ac:dyDescent="0.25">
      <c r="B66" s="2">
        <v>28</v>
      </c>
      <c r="C66" t="s">
        <v>147</v>
      </c>
      <c r="D66" t="s">
        <v>155</v>
      </c>
      <c r="E66" s="43" t="s">
        <v>160</v>
      </c>
      <c r="F66" s="43"/>
      <c r="G66" s="43"/>
      <c r="H66" s="43"/>
      <c r="I66" s="43"/>
      <c r="J66" s="43"/>
    </row>
    <row r="67" spans="2:11" x14ac:dyDescent="0.25">
      <c r="B67" s="2">
        <v>29</v>
      </c>
      <c r="C67" t="s">
        <v>148</v>
      </c>
      <c r="D67" t="s">
        <v>9</v>
      </c>
      <c r="E67" s="43" t="s">
        <v>148</v>
      </c>
      <c r="F67" s="43"/>
      <c r="G67" s="43"/>
      <c r="H67" s="43"/>
      <c r="I67" s="43"/>
      <c r="J67" s="43"/>
    </row>
    <row r="68" spans="2:11" x14ac:dyDescent="0.25">
      <c r="B68" s="2">
        <v>30</v>
      </c>
      <c r="C68" t="s">
        <v>149</v>
      </c>
      <c r="D68" t="s">
        <v>156</v>
      </c>
      <c r="E68" s="43" t="s">
        <v>161</v>
      </c>
      <c r="F68" s="43"/>
      <c r="G68" s="43"/>
      <c r="H68" s="43"/>
      <c r="I68" s="43"/>
      <c r="J68" s="43"/>
    </row>
    <row r="69" spans="2:11" x14ac:dyDescent="0.25">
      <c r="B69" s="2">
        <v>31</v>
      </c>
      <c r="C69" t="s">
        <v>150</v>
      </c>
      <c r="D69" t="s">
        <v>12</v>
      </c>
      <c r="E69" s="43" t="s">
        <v>162</v>
      </c>
      <c r="F69" s="43"/>
      <c r="G69" s="43"/>
      <c r="H69" s="43"/>
      <c r="I69" s="43"/>
      <c r="J69" s="43"/>
    </row>
    <row r="70" spans="2:11" x14ac:dyDescent="0.25">
      <c r="B70" s="2">
        <v>32</v>
      </c>
      <c r="C70" t="s">
        <v>151</v>
      </c>
      <c r="D70" t="s">
        <v>33</v>
      </c>
      <c r="E70" s="42" t="s">
        <v>239</v>
      </c>
      <c r="F70" s="43"/>
      <c r="G70" s="43"/>
      <c r="H70" s="43"/>
      <c r="I70" s="43"/>
      <c r="J70" s="43"/>
    </row>
    <row r="71" spans="2:11" x14ac:dyDescent="0.25">
      <c r="B71" s="2">
        <v>33</v>
      </c>
      <c r="C71" t="s">
        <v>152</v>
      </c>
      <c r="D71" t="s">
        <v>33</v>
      </c>
      <c r="E71" s="42" t="s">
        <v>240</v>
      </c>
      <c r="F71" s="43"/>
      <c r="G71" s="43"/>
      <c r="H71" s="43"/>
      <c r="I71" s="43"/>
      <c r="J71" s="43"/>
    </row>
    <row r="72" spans="2:11" x14ac:dyDescent="0.25">
      <c r="B72" s="2">
        <v>34</v>
      </c>
      <c r="C72" t="s">
        <v>198</v>
      </c>
      <c r="D72" t="s">
        <v>121</v>
      </c>
      <c r="E72" s="43" t="s">
        <v>197</v>
      </c>
      <c r="F72" s="43"/>
      <c r="G72" s="43"/>
      <c r="H72" s="43"/>
      <c r="I72" s="43"/>
      <c r="J72" s="43"/>
    </row>
    <row r="73" spans="2:11" x14ac:dyDescent="0.25">
      <c r="B73" s="2">
        <v>35</v>
      </c>
      <c r="C73" t="s">
        <v>193</v>
      </c>
      <c r="D73" t="s">
        <v>121</v>
      </c>
      <c r="E73" s="43" t="s">
        <v>194</v>
      </c>
      <c r="F73" s="43"/>
      <c r="G73" s="43"/>
      <c r="H73" s="43"/>
      <c r="I73" s="43"/>
      <c r="J73" s="43"/>
    </row>
    <row r="76" spans="2:11" x14ac:dyDescent="0.25">
      <c r="B76" s="2"/>
      <c r="C76" s="14" t="s">
        <v>200</v>
      </c>
      <c r="D76" s="15"/>
      <c r="E76" s="16" t="s">
        <v>202</v>
      </c>
      <c r="G76" s="15"/>
      <c r="H76" s="15"/>
      <c r="I76" s="15"/>
      <c r="J76" s="15"/>
      <c r="K76" s="15"/>
    </row>
    <row r="77" spans="2:11" x14ac:dyDescent="0.25">
      <c r="B77" s="13"/>
      <c r="C77" s="16" t="s">
        <v>201</v>
      </c>
      <c r="D77" s="15"/>
      <c r="E77" s="16" t="s">
        <v>203</v>
      </c>
      <c r="G77" s="15"/>
      <c r="H77" s="15"/>
      <c r="I77" s="15"/>
      <c r="J77" s="15"/>
      <c r="K77" s="15"/>
    </row>
    <row r="78" spans="2:11" x14ac:dyDescent="0.25">
      <c r="B78" s="13"/>
      <c r="C78" s="16"/>
      <c r="D78" s="15"/>
      <c r="E78" s="16" t="s">
        <v>204</v>
      </c>
      <c r="G78" s="15"/>
      <c r="H78" s="15"/>
      <c r="I78" s="15"/>
      <c r="J78" s="15"/>
      <c r="K78" s="15"/>
    </row>
    <row r="79" spans="2:11" x14ac:dyDescent="0.25">
      <c r="B79" s="13"/>
      <c r="C79" s="16"/>
      <c r="D79" s="15"/>
      <c r="E79" s="16" t="s">
        <v>205</v>
      </c>
      <c r="G79" s="15"/>
      <c r="H79" s="15"/>
      <c r="I79" s="15"/>
      <c r="J79" s="15"/>
      <c r="K79" s="15"/>
    </row>
    <row r="80" spans="2:11" x14ac:dyDescent="0.25">
      <c r="B80" s="13"/>
      <c r="D80" s="15"/>
      <c r="E80" s="16" t="s">
        <v>206</v>
      </c>
      <c r="G80" s="15"/>
      <c r="H80" s="15"/>
      <c r="I80" s="15"/>
      <c r="J80" s="15"/>
      <c r="K80" s="15"/>
    </row>
    <row r="81" spans="2:11" x14ac:dyDescent="0.25">
      <c r="B81" s="2"/>
      <c r="D81" s="15"/>
      <c r="E81" s="15"/>
      <c r="F81" s="15"/>
      <c r="G81" s="15"/>
      <c r="H81" s="15"/>
      <c r="I81" s="15"/>
      <c r="J81" s="15"/>
      <c r="K81" s="15"/>
    </row>
  </sheetData>
  <mergeCells count="86">
    <mergeCell ref="AD24:AF27"/>
    <mergeCell ref="L21:R25"/>
    <mergeCell ref="E24:J24"/>
    <mergeCell ref="E25:J25"/>
    <mergeCell ref="L5:M5"/>
    <mergeCell ref="E65:J65"/>
    <mergeCell ref="E61:J61"/>
    <mergeCell ref="E60:J60"/>
    <mergeCell ref="E59:J59"/>
    <mergeCell ref="E55:J55"/>
    <mergeCell ref="E31:J31"/>
    <mergeCell ref="E37:J37"/>
    <mergeCell ref="E32:J32"/>
    <mergeCell ref="E38:J38"/>
    <mergeCell ref="E39:J39"/>
    <mergeCell ref="E42:J42"/>
    <mergeCell ref="E41:J41"/>
    <mergeCell ref="E68:J68"/>
    <mergeCell ref="E44:J44"/>
    <mergeCell ref="E43:J43"/>
    <mergeCell ref="E64:J64"/>
    <mergeCell ref="E63:J63"/>
    <mergeCell ref="E62:J62"/>
    <mergeCell ref="E49:J49"/>
    <mergeCell ref="E56:J56"/>
    <mergeCell ref="E67:J67"/>
    <mergeCell ref="E58:J58"/>
    <mergeCell ref="E57:J57"/>
    <mergeCell ref="E54:J54"/>
    <mergeCell ref="E66:J66"/>
    <mergeCell ref="E73:J73"/>
    <mergeCell ref="E72:J72"/>
    <mergeCell ref="E71:J71"/>
    <mergeCell ref="E70:J70"/>
    <mergeCell ref="E69:J69"/>
    <mergeCell ref="E34:J34"/>
    <mergeCell ref="E33:J33"/>
    <mergeCell ref="E48:J48"/>
    <mergeCell ref="E53:J53"/>
    <mergeCell ref="E52:J52"/>
    <mergeCell ref="E51:J51"/>
    <mergeCell ref="E50:J50"/>
    <mergeCell ref="E47:J47"/>
    <mergeCell ref="E46:J46"/>
    <mergeCell ref="E45:J45"/>
    <mergeCell ref="E36:J36"/>
    <mergeCell ref="E35:J35"/>
    <mergeCell ref="E40:J40"/>
    <mergeCell ref="E20:J20"/>
    <mergeCell ref="E4:J4"/>
    <mergeCell ref="E30:J30"/>
    <mergeCell ref="E12:J12"/>
    <mergeCell ref="E11:J11"/>
    <mergeCell ref="E10:J10"/>
    <mergeCell ref="E9:J9"/>
    <mergeCell ref="E8:J8"/>
    <mergeCell ref="E7:J7"/>
    <mergeCell ref="E6:J6"/>
    <mergeCell ref="E5:J5"/>
    <mergeCell ref="E26:J26"/>
    <mergeCell ref="E23:J23"/>
    <mergeCell ref="E22:J22"/>
    <mergeCell ref="E21:J21"/>
    <mergeCell ref="E14:J14"/>
    <mergeCell ref="E19:J19"/>
    <mergeCell ref="E18:J18"/>
    <mergeCell ref="E17:J17"/>
    <mergeCell ref="E16:J16"/>
    <mergeCell ref="E15:J15"/>
    <mergeCell ref="S16:S18"/>
    <mergeCell ref="U16:U18"/>
    <mergeCell ref="V16:V18"/>
    <mergeCell ref="W16:W18"/>
    <mergeCell ref="E13:J13"/>
    <mergeCell ref="AC16:AC18"/>
    <mergeCell ref="AG16:AG18"/>
    <mergeCell ref="AR16:AR18"/>
    <mergeCell ref="AS16:AS18"/>
    <mergeCell ref="X16:X18"/>
    <mergeCell ref="Y16:Y18"/>
    <mergeCell ref="Z16:Z18"/>
    <mergeCell ref="AA16:AA18"/>
    <mergeCell ref="AB16:AB18"/>
    <mergeCell ref="AD16:AD18"/>
    <mergeCell ref="AE16:AE18"/>
    <mergeCell ref="AF16:AF18"/>
  </mergeCells>
  <phoneticPr fontId="5" type="noConversion"/>
  <pageMargins left="0" right="0" top="0" bottom="0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ENVIO DE PRESTAMOS</vt:lpstr>
      <vt:lpstr>APORTACION QNAL</vt:lpstr>
      <vt:lpstr>'APORTACION QNAL'!Área_de_impresión</vt:lpstr>
      <vt:lpstr>'ENVIO DE PRESTAMOS'!Área_de_impresión</vt:lpstr>
    </vt:vector>
  </TitlesOfParts>
  <Company>ISSSSPEA GOB DEL EDO DE AGS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 DE SISTEMAS</dc:creator>
  <cp:lastModifiedBy>Luis Alberto Cuesta Lopez</cp:lastModifiedBy>
  <cp:lastPrinted>2019-04-02T16:16:49Z</cp:lastPrinted>
  <dcterms:created xsi:type="dcterms:W3CDTF">2001-09-28T17:24:32Z</dcterms:created>
  <dcterms:modified xsi:type="dcterms:W3CDTF">2026-05-11T04:57:08Z</dcterms:modified>
</cp:coreProperties>
</file>